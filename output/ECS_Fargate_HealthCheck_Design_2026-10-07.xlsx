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結論と読み方" sheetId="1" r:id="rId1"/>
    <sheet name="01_仕組みと時計" sheetId="2" r:id="rId2"/>
    <sheet name="01b_用語をやさしく" sheetId="3" r:id="rId3"/>
    <sheet name="02_設定値の範囲" sheetId="4" r:id="rId4"/>
    <sheet name="03_依存とessential" sheetId="5" r:id="rId5"/>
    <sheet name="04_パターン比較" sheetId="6" r:id="rId6"/>
    <sheet name="05_コンテナ設定" sheetId="7" r:id="rId7"/>
    <sheet name="06_ALBとサービス" sheetId="8" r:id="rId8"/>
    <sheet name="07_起動時系列" sheetId="9" r:id="rId9"/>
    <sheet name="07b_時系列図" sheetId="10" r:id="rId10"/>
    <sheet name="08_時間計算" sheetId="11" r:id="rId11"/>
    <sheet name="09_EAPと健康判定" sheetId="12" r:id="rId12"/>
    <sheet name="10_ADOTとCWAgent" sheetId="13" r:id="rId13"/>
    <sheet name="11_検査コマンド" sheetId="14" r:id="rId14"/>
    <sheet name="12_JSON設定例" sheetId="15" r:id="rId15"/>
    <sheet name="13_Terraformと補助" sheetId="16" r:id="rId16"/>
    <sheet name="14_障害と運用" sheetId="17" r:id="rId17"/>
    <sheet name="15_測定と検証" sheetId="18" r:id="rId18"/>
    <sheet name="16_歴史と背景" sheetId="19" r:id="rId19"/>
    <sheet name="17_よくある疑問" sheetId="20" r:id="rId20"/>
    <sheet name="18_出典と適用範囲" sheetId="21" r:id="rId21"/>
  </sheets>
  <definedNames>
    <definedName name="_xlnm._FilterDatabase" localSheetId="6" hidden="1">'05_コンテナ設定'!$A$7:$I$39</definedName>
    <definedName name="_xlnm._FilterDatabase" localSheetId="8" hidden="1">'07_起動時系列'!$A$7:$D$88</definedName>
    <definedName name="_xlnm.Print_Area" localSheetId="0">'00_結論と読み方'!$A$1:$AV$40</definedName>
    <definedName name="_xlnm.Print_Area" localSheetId="1">'01_仕組みと時計'!$A$1:$AV$45</definedName>
    <definedName name="_xlnm.Print_Area" localSheetId="2">'01b_用語をやさしく'!$A$1:$AV$30</definedName>
    <definedName name="_xlnm.Print_Area" localSheetId="3">'02_設定値の範囲'!$A$1:$AV$49</definedName>
    <definedName name="_xlnm.Print_Area" localSheetId="4">'03_依存とessential'!$A$1:$AV$45</definedName>
    <definedName name="_xlnm.Print_Area" localSheetId="5">'04_パターン比較'!$A$1:$AV$63</definedName>
    <definedName name="_xlnm.Print_Area" localSheetId="6">'05_コンテナ設定'!$A$1:$I$45</definedName>
    <definedName name="_xlnm.Print_Area" localSheetId="7">'06_ALBとサービス'!$A$1:$AV$30</definedName>
    <definedName name="_xlnm.Print_Area" localSheetId="8">'07_起動時系列'!$A$1:$D$91</definedName>
    <definedName name="_xlnm.Print_Area" localSheetId="9">'07b_時系列図'!$A$1:$W$31</definedName>
    <definedName name="_xlnm.Print_Area" localSheetId="10">'08_時間計算'!$A$1:$D$70</definedName>
    <definedName name="_xlnm.Print_Area" localSheetId="11">'09_EAPと健康判定'!$A$1:$AV$36</definedName>
    <definedName name="_xlnm.Print_Area" localSheetId="12">'10_ADOTとCWAgent'!$A$1:$AV$26</definedName>
    <definedName name="_xlnm.Print_Area" localSheetId="13">'11_検査コマンド'!$A$1:$AV$30</definedName>
    <definedName name="_xlnm.Print_Area" localSheetId="14">'12_JSON設定例'!$A$1:$AV$190</definedName>
    <definedName name="_xlnm.Print_Area" localSheetId="15">'13_Terraformと補助'!$A$1:$AV$131</definedName>
    <definedName name="_xlnm.Print_Area" localSheetId="16">'14_障害と運用'!$A$1:$AV$34</definedName>
    <definedName name="_xlnm.Print_Area" localSheetId="17">'15_測定と検証'!$A$1:$AV$49</definedName>
    <definedName name="_xlnm.Print_Area" localSheetId="18">'16_歴史と背景'!$A$1:$AV$21</definedName>
    <definedName name="_xlnm.Print_Area" localSheetId="19">'17_よくある疑問'!$A$1:$AV$27</definedName>
    <definedName name="_xlnm.Print_Area" localSheetId="20">'18_出典と適用範囲'!$A$1:$AV$68</definedName>
    <definedName name="_xlnm.Print_Titles" localSheetId="0">'00_結論と読み方'!$1:$4</definedName>
    <definedName name="_xlnm.Print_Titles" localSheetId="1">'01_仕組みと時計'!$1:$4</definedName>
    <definedName name="_xlnm.Print_Titles" localSheetId="2">'01b_用語をやさしく'!$1:$4</definedName>
    <definedName name="_xlnm.Print_Titles" localSheetId="3">'02_設定値の範囲'!$1:$4</definedName>
    <definedName name="_xlnm.Print_Titles" localSheetId="4">'03_依存とessential'!$1:$4</definedName>
    <definedName name="_xlnm.Print_Titles" localSheetId="5">'04_パターン比較'!$1:$4</definedName>
    <definedName name="_xlnm.Print_Titles" localSheetId="6">'05_コンテナ設定'!$1:$4</definedName>
    <definedName name="_xlnm.Print_Titles" localSheetId="7">'06_ALBとサービス'!$1:$4</definedName>
    <definedName name="_xlnm.Print_Titles" localSheetId="8">'07_起動時系列'!$1:$4</definedName>
    <definedName name="_xlnm.Print_Titles" localSheetId="9">'07b_時系列図'!$1:$4</definedName>
    <definedName name="_xlnm.Print_Titles" localSheetId="10">'08_時間計算'!$1:$4</definedName>
    <definedName name="_xlnm.Print_Titles" localSheetId="11">'09_EAPと健康判定'!$1:$4</definedName>
    <definedName name="_xlnm.Print_Titles" localSheetId="12">'10_ADOTとCWAgent'!$1:$4</definedName>
    <definedName name="_xlnm.Print_Titles" localSheetId="13">'11_検査コマンド'!$1:$4</definedName>
    <definedName name="_xlnm.Print_Titles" localSheetId="14">'12_JSON設定例'!$1:$4</definedName>
    <definedName name="_xlnm.Print_Titles" localSheetId="15">'13_Terraformと補助'!$1:$4</definedName>
    <definedName name="_xlnm.Print_Titles" localSheetId="16">'14_障害と運用'!$1:$4</definedName>
    <definedName name="_xlnm.Print_Titles" localSheetId="17">'15_測定と検証'!$1:$4</definedName>
    <definedName name="_xlnm.Print_Titles" localSheetId="18">'16_歴史と背景'!$1:$4</definedName>
    <definedName name="_xlnm.Print_Titles" localSheetId="19">'17_よくある疑問'!$1:$4</definedName>
    <definedName name="_xlnm.Print_Titles" localSheetId="20">'18_出典と適用範囲'!$1:$4</definedName>
  </definedNames>
  <calcPr calcId="124519" fullCalcOnLoad="1"/>
</workbook>
</file>

<file path=xl/sharedStrings.xml><?xml version="1.0" encoding="utf-8"?>
<sst xmlns="http://schemas.openxmlformats.org/spreadsheetml/2006/main" count="2073" uniqueCount="1459">
  <si>
    <t>最初に押さえる結論</t>
  </si>
  <si>
    <t>UBI / OpenJDK 21 / JBoss EAP 8.1 · フロント / バック / ADOT / CloudWatch Agent</t>
  </si>
  <si>
    <t>確認日：2026-10-07。AWS・Red Hat・OpenTelemetry等の一次情報を確認。数値例は測定値ではなく設計用の仮定です。</t>
  </si>
  <si>
    <t>目次へ</t>
  </si>
  <si>
    <t>出典一覧へ</t>
  </si>
  <si>
    <t>目次：クリックして移動</t>
  </si>
  <si>
    <t>00_結論と読み方  最初に押さえる結論</t>
  </si>
  <si>
    <t>01_仕組みと時計  お店の開店にたとえて理解する</t>
  </si>
  <si>
    <t>01b_用語をやさしく  途中で困らないための用語集</t>
  </si>
  <si>
    <t>02_設定値の範囲  どこに何を指定できるか</t>
  </si>
  <si>
    <t>03_依存とessential  dependsOnとessentialの正確な役割</t>
  </si>
  <si>
    <t>04_パターン比較  時間パターン別の具体案</t>
  </si>
  <si>
    <t>05_コンテナ設定  4コンテナに入れる具体値</t>
  </si>
  <si>
    <t>06_ALBとサービス  ALBの判定とECSの猶予を組み合わせる</t>
  </si>
  <si>
    <t>07_起動時系列  時刻を並べて動きを見る</t>
  </si>
  <si>
    <t>07b_時系列図  P2 / P4 / P3の比較図</t>
  </si>
  <si>
    <t>08_時間計算  値を選ぶための計算方法</t>
  </si>
  <si>
    <t>09_EAPと健康判定  UBI / Java / EAPで何を確かめるか</t>
  </si>
  <si>
    <t>10_ADOTとCWAgent  サイドカーの開始・検査・欠損対策</t>
  </si>
  <si>
    <t>11_検査コマンド  コンテナ内で動く検査の具体例</t>
  </si>
  <si>
    <t>12_JSON設定例  ECS JSONへ落とし込む</t>
  </si>
  <si>
    <t>13_Terraformと補助  Terraformとコンテナ内の補助実装</t>
  </si>
  <si>
    <t>14_障害と運用  稼働中・停止中も同じ構成を点検する</t>
  </si>
  <si>
    <t>15_測定と検証  実環境へ当てはめる手順</t>
  </si>
  <si>
    <t>16_歴史と背景  なぜ複数の仕組みができたのか</t>
  </si>
  <si>
    <t>17_よくある疑問  設定を決める前の最終確認</t>
  </si>
  <si>
    <t>18_出典と適用範囲  出典・確認範囲</t>
  </si>
  <si>
    <t>今回の条件</t>
  </si>
  <si>
    <t>実行環境はECS Fargate（Linux）。フロントとバックはUBI上のOpenJDK 21 / JBoss EAP 8.1として説明します。タスクにはADOT Collector（essential=true）とCloudWatch Agent（essential=false）も置きます。実際の起動時間・アプリの健康判定URL・イメージのタグ・CPU/メモリ量は未提示です。以下の秒数はAWS推奨の固定値ではなく、仮定に対して計算した候補です。</t>
  </si>
  <si>
    <t>誤解しやすい点と正しい読み替え</t>
  </si>
  <si>
    <t>論点</t>
  </si>
  <si>
    <t>正しい考え方</t>
  </si>
  <si>
    <t>実務上の結論</t>
  </si>
  <si>
    <t>startPeriod=210</t>
  </si>
  <si>
    <t>そのコンテナの起動直後に失敗を数えない猶予。検査は実行され、途中の成功でHEALTHYになれる。</t>
  </si>
  <si>
    <t>210秒そのものを起動時間として足し算しない。</t>
  </si>
  <si>
    <t>ELB / ALBの猶予300秒</t>
  </si>
  <si>
    <t>実体はECSサービスのhealthCheckGracePeriodSeconds。ALBの検査開始を遅らせない。</t>
  </si>
  <si>
    <t>ALBが異常を報告しても、ECSの健康判定に基づく置換を猶予する。</t>
  </si>
  <si>
    <t>HEALTHY依存</t>
  </si>
  <si>
    <t>依存先の最初の健康判定成功を待つ。起動順序を制御する。</t>
  </si>
  <si>
    <t>依存先の実際の準備時間＋検査・通知の遅れを測る。</t>
  </si>
  <si>
    <t>Fargateの待機上限</t>
  </si>
  <si>
    <t>明示できるstartTimeoutは2–120秒。依存先側へ設定する。</t>
  </si>
  <si>
    <t>初回HEALTHYまで210秒かかるバックを120秒の依存待ちで待つ設計は成立しない。</t>
  </si>
  <si>
    <t>300秒の起点</t>
  </si>
  <si>
    <t>タスクの作成時刻、最初のコンテナ開始、task.startedAt、各コンテナStartedAtは別。</t>
  </si>
  <si>
    <t>task.startedAtを基準に残りの準備時間を評価し、実イベントでも突き合わせる。</t>
  </si>
  <si>
    <t>13133番が200</t>
  </si>
  <si>
    <t>Collectorのヘルスエンドポイントが成功したこと。全トレースの永続保存を証明しない。</t>
  </si>
  <si>
    <t>起動順に加え、SDK・Collectorの再試行、キュー、保存先での受信を確認する。</t>
  </si>
  <si>
    <t>出典：S01 / S03 / S04 / S05 / S06 / S16 / S18（18_出典と適用範囲の同IDを参照）</t>
  </si>
  <si>
    <t>未計測の現時点での選び方</t>
  </si>
  <si>
    <t>まずはP4を検証候補とします。ADOTのHEALTHYを待って両方のEAPを並列に開始し、フロントとバックの間にはHEALTHY依存を置きません。startPeriodはADOT 30秒、CloudWatch Agent 30秒、バック210秒、フロント210秒、ECSサービス猶予300秒とする例です。ALBにはフロントからバックまで最低限使えることを判定するreadinessを設定します。バックがいない間もフロントが起動し続け、再接続できる実装が前提です。</t>
  </si>
  <si>
    <t>希望どおり直列にする場合</t>
  </si>
  <si>
    <t>バックの『コンテナ開始→初回HEALTHY』が負荷の高い時も十分に120秒未満ならP1 / P2が候補です。例えばバックが95秒でHEALTHY、フロントの準備が200秒なら、フロントのstartPeriod=210とサービス猶予300を維持できる時間例を示します。バック自身が200秒以上かかるなら、サービス猶予を600へ変更するだけでは120秒の依存待ちの問題を解消できません。</t>
  </si>
  <si>
    <t>出典：S03 / S12（18_出典と適用範囲の同IDを参照）</t>
  </si>
  <si>
    <t>210秒を短くする効果</t>
  </si>
  <si>
    <t>210を60へ変更しても、アプリの初期化処理は速くなりません。変わるのは失敗を数え始める時刻です。準備完了を早く検知したい場合は、準備完了条件を正しく実装したうえでintervalを30秒から10秒などへ調整します。十分な余裕を持つ実測結果が出てからstartPeriodを縮めます。</t>
  </si>
  <si>
    <t>出典：S01（18_出典と適用範囲の同IDを参照）</t>
  </si>
  <si>
    <t>読み進め方</t>
  </si>
  <si>
    <t>仕組みと時計→設定範囲→依存関係→パターン比較→起動時系列の順で読めます。Excelの『08_時間計算』は白い入力セルを書き換えると見積もりが変わります。JSON・Terraformは設定の位置を示すテンプレートです。AWSへの適用や実機負荷試験は行っていません。</t>
  </si>
  <si>
    <t>お店の開店にたとえて理解する</t>
  </si>
  <si>
    <t>『動いている』『準備ができた』『お客さんを入れてよい』を分けると、各設定の役割が見えます。</t>
  </si>
  <si>
    <t>登場人物</t>
  </si>
  <si>
    <t>登場するもの</t>
  </si>
  <si>
    <t>小学生向けのたとえ</t>
  </si>
  <si>
    <t>実際の仕事</t>
  </si>
  <si>
    <t>ECSサービス</t>
  </si>
  <si>
    <t>お店を決まった数だけ営業させる店長</t>
  </si>
  <si>
    <t>必要タスク数を保ち、起動失敗や健康状態に応じてタスクを入れ替える。</t>
  </si>
  <si>
    <t>Fargateタスク</t>
  </si>
  <si>
    <t>同じ建物で働く1チーム</t>
  </si>
  <si>
    <t>今回の4コンテナをひとまとめに実行する。</t>
  </si>
  <si>
    <t>フロントエンド</t>
  </si>
  <si>
    <t>注文を受ける受付</t>
  </si>
  <si>
    <t>利用者のHTTPリクエストを受け、必要に応じバックのAPIを呼ぶ。</t>
  </si>
  <si>
    <t>バックエンド</t>
  </si>
  <si>
    <t>注文どおりに調理する台所</t>
  </si>
  <si>
    <t>APIや業務処理を実行する。Javaプロセスが起動しただけでは調理可能とは限らない。</t>
  </si>
  <si>
    <t>ADOT Collector</t>
  </si>
  <si>
    <t>仕事の記録を受け取る係</t>
  </si>
  <si>
    <t>OTLPなどでトレースを受け取り、加工して保存先へ送る。</t>
  </si>
  <si>
    <t>CloudWatch Agent</t>
  </si>
  <si>
    <t>別の測定・記録係</t>
  </si>
  <si>
    <t>構成されたメトリクスやログ等を収集・送信する。ADOTと役割を決めて重複を防ぐ。</t>
  </si>
  <si>
    <t>ALB</t>
  </si>
  <si>
    <t>開いているお店へお客さんを案内する係</t>
  </si>
  <si>
    <t>ターゲットへHTTP健康確認を行い、状態に基づいてリクエストを振り分ける。</t>
  </si>
  <si>
    <t>混同してはいけない4つの時計</t>
  </si>
  <si>
    <t>時計</t>
  </si>
  <si>
    <t>起点・対象</t>
  </si>
  <si>
    <t>時間内でも行われること</t>
  </si>
  <si>
    <t>延ばしても解決しないこと</t>
  </si>
  <si>
    <t>startPeriod</t>
  </si>
  <si>
    <t>各コンテナが開始してから。そのコンテナの失敗回数。</t>
  </si>
  <si>
    <t>ヘルスチェック、成功の判定、HEALTHYによる依存解除。</t>
  </si>
  <si>
    <t>初期化処理の遅さ、依存待ちの期限、プロセス終了。</t>
  </si>
  <si>
    <t>startTimeout</t>
  </si>
  <si>
    <t>依存先が条件を満たすまでの待ち。依存先コンテナへ指定。</t>
  </si>
  <si>
    <t>依存先の起動・検査。待つ側は未起動でよい。</t>
  </si>
  <si>
    <t>ALBの猶予、起動後の通信リトライ。Fargateに210や300は指定できない。</t>
  </si>
  <si>
    <t>healthCheckGracePeriodSeconds</t>
  </si>
  <si>
    <t>タスクが最初に開始した後のECSサービスの猶予。</t>
  </si>
  <si>
    <t>ALB・コンテナの健康確認、健康なターゲットへの配信。</t>
  </si>
  <si>
    <t>HEALTHY依存の失敗、OOM、必須コンテナ終了、誤ったURL。</t>
  </si>
  <si>
    <t>ALB interval / timeout / thresholds</t>
  </si>
  <si>
    <t>登録済みターゲットに対する周期的なHTTP検査。</t>
  </si>
  <si>
    <t>HTTP GETと成功・失敗の判定。猶予中も続く。</t>
  </si>
  <si>
    <t>ECSがコンテナを開始する順番、Javaの初期化時間。</t>
  </si>
  <si>
    <t>出典：S01 / S03 / S05 / S08（18_出典と適用範囲の同IDを参照）</t>
  </si>
  <si>
    <t>startPeriodの動作イメージ</t>
  </si>
  <si>
    <t>startPeriod=210、interval=10、retries=3とします。仮に10・20・30秒の検査が失敗しても、初回成功前の猶予内なので失敗回数には入れません。40秒で成功すれば、その時点でHEALTHYです。以後50・60・70秒に連続して失敗すると、210秒を待たずUNHEALTHYになり得ます。この例の検査時刻は説明用です。実際は検査実行時間・ランタイム・通知の遅れがあります。</t>
  </si>
  <si>
    <t>出典：S01 / S34（18_出典と適用範囲の同IDを参照）</t>
  </si>
  <si>
    <t>失敗し続けた場合</t>
  </si>
  <si>
    <t>初回成功がないまま210秒を過ぎれば、その後の失敗が回数に入ります。仮に220・230・240秒で失敗したら240秒付近でUNHEALTHYです。『必ず210＋10×3=240秒で停止』ではありません。コンテナの状態変化と、ECSサービスが置換を判断する時刻と、停止完了時刻は別です。サービスの猶予中なら健康異常による置換が抑えられる場合があります。</t>
  </si>
  <si>
    <t>出典：S01 / S05（18_出典と適用範囲の同IDを参照）</t>
  </si>
  <si>
    <t>ECSの猶予中もALBは働く</t>
  </si>
  <si>
    <t>ALBが50秒で失敗し、180秒で成功を確認することもあります。ECSの猶予が300秒でも、正常と判定されれば300秒を待たず配信できます。猶予終了時に失敗回数がゼロへ戻るわけでもありません。300秒時点ですでにUNHEALTHYなら、その状態に対してサービスが置換を判断できます。</t>
  </si>
  <si>
    <t>出典：S05 / S08 / S09（18_出典と適用範囲の同IDを参照）</t>
  </si>
  <si>
    <t>タスク開始時刻の落とし穴</t>
  </si>
  <si>
    <t>起動要求を出した時刻やcreatedAtから、機械的に300秒を引かないでください。APIのtask.startedAtはRUNNINGに遷移した時刻です。依存先を待っている間はタスクが起動処理中であり、その時間がstartedAtより前に位置することがあります。資料の時系列は『最初のコンテナ開始をt=0』として、task.startedAtの仮定を別列に示します。猶予の期限はtask.startedAt＋Gを基準にイベントと照合します。</t>
  </si>
  <si>
    <t>出典：S05 / S06 / S07 / S14（18_出典と適用範囲の同IDを参照）</t>
  </si>
  <si>
    <t>起動の概念図  [text]</t>
  </si>
  <si>
    <t>起動要求 → リソース準備・イメージ取得 → コンテナ作成・依存待ち → RUNNING</t>
  </si>
  <si>
    <t xml:space="preserve">                               ADOT開始 → HEALTHY</t>
  </si>
  <si>
    <t xml:space="preserve">                                            バック開始 → HEALTHY</t>
  </si>
  <si>
    <t xml:space="preserve">                                                           フロント開始 → 準備完了</t>
  </si>
  <si>
    <t xml:space="preserve">                                                           ↑ startedAtは実測で確認</t>
  </si>
  <si>
    <t>ALB: ターゲット登録と必要条件成立後、独立して周期検査 ───────────→</t>
  </si>
  <si>
    <t>ECS: task.startedAtからG秒、健康異常による早期置換を猶予 ─────────→</t>
  </si>
  <si>
    <t>出典：S06 / S07 / S08（18_出典と適用範囲の同IDを参照）</t>
  </si>
  <si>
    <t>途中で困らないための用語集</t>
  </si>
  <si>
    <t>短い意味を先に読み、必要なら詳細章へ戻れるようにしています。</t>
  </si>
  <si>
    <t>言葉と意味</t>
  </si>
  <si>
    <t>用語</t>
  </si>
  <si>
    <t>やさしい意味</t>
  </si>
  <si>
    <t>今回の例</t>
  </si>
  <si>
    <t>コンテナ</t>
  </si>
  <si>
    <t>アプリと動作に必要なものをひとまとめにした実行単位</t>
  </si>
  <si>
    <t>フロント、バック、ADOT、CloudWatch Agentの4つ。</t>
  </si>
  <si>
    <t>タスク</t>
  </si>
  <si>
    <t>一緒に実行するコンテナを束ねた1組</t>
  </si>
  <si>
    <t>今回は同じネットワークを共有する1組。</t>
  </si>
  <si>
    <t>Fargate</t>
  </si>
  <si>
    <t>コンテナを動かす機械の管理をAWSに任せる実行方法</t>
  </si>
  <si>
    <t>利用者がEC2のAgent設定を直接変更する構成とは異なる。</t>
  </si>
  <si>
    <t>サイドカー</t>
  </si>
  <si>
    <t>本体の横で働く補助役のコンテナ</t>
  </si>
  <si>
    <t>ADOTとCloudWatch Agent。</t>
  </si>
  <si>
    <t>API</t>
  </si>
  <si>
    <t>別のプログラムに仕事を頼むための窓口</t>
  </si>
  <si>
    <t>フロントがバックへ業務処理を頼む。</t>
  </si>
  <si>
    <t>HTTP 200 / 503</t>
  </si>
  <si>
    <t>Webの返事の番号。200は成功、503は現在利用できない</t>
  </si>
  <si>
    <t>健康確認では準備できるまで503、準備後200とする例。</t>
  </si>
  <si>
    <t>ポート</t>
  </si>
  <si>
    <t>同じ住所の中で窓口を区別する番号</t>
  </si>
  <si>
    <t>フロント8080、バック8180。</t>
  </si>
  <si>
    <t>localhost / 127.0.0.1</t>
  </si>
  <si>
    <t>自分のネットワーク空間の中の宛先</t>
  </si>
  <si>
    <t>同一Fargateタスク内のコンテナ間で通信できる。</t>
  </si>
  <si>
    <t>healthCheck</t>
  </si>
  <si>
    <t>元気か・準備できたかを定期的に調べる検査</t>
  </si>
  <si>
    <t>コンテナ内部でコマンドを実行する。</t>
  </si>
  <si>
    <t>interval</t>
  </si>
  <si>
    <t>検査と検査の間隔</t>
  </si>
  <si>
    <t>10秒ごとに確認する目安。</t>
  </si>
  <si>
    <t>timeout</t>
  </si>
  <si>
    <t>1回の処理を待つ限度</t>
  </si>
  <si>
    <t>HTTP応答を5秒まで待つ。</t>
  </si>
  <si>
    <t>retries / threshold</t>
  </si>
  <si>
    <t>何回続けて失敗・成功したら状態を変えるか</t>
  </si>
  <si>
    <t>一瞬の遅れだけで故障と決めないための回数。</t>
  </si>
  <si>
    <t>essential</t>
  </si>
  <si>
    <t>そのコンテナをタスクに必須とする指定</t>
  </si>
  <si>
    <t>trueのADOTが終了すると、通常はタスク全体の停止へつながる。</t>
  </si>
  <si>
    <t>readiness</t>
  </si>
  <si>
    <t>今、お客さんの依頼を受けてよいか</t>
  </si>
  <si>
    <t>バックのAPIが使えるまでフロントのALB用検査は成功させない。</t>
  </si>
  <si>
    <t>liveness</t>
  </si>
  <si>
    <t>処理を続けられる状態で生きているか</t>
  </si>
  <si>
    <t>一時的な外部DB障害と、自分の停止・ハングを分けて考える。</t>
  </si>
  <si>
    <t>JVM / EAP / WAR</t>
  </si>
  <si>
    <t>Javaを実行する仕組み / アプリサーバー / 配置するアプリのまとまり</t>
  </si>
  <si>
    <t>JVMがあるだけでWARが正しく配置できたとは限らない。</t>
  </si>
  <si>
    <t>CPU / メモリ / OOM</t>
  </si>
  <si>
    <t>計算する力 / 作業場所 / 作業場所の不足による異常</t>
  </si>
  <si>
    <t>2つのEAPを同時に起こすと資源の取り合いが起こり得る。</t>
  </si>
  <si>
    <t>JIT / ウォームアップ</t>
  </si>
  <si>
    <t>実行しながら速くする仕組み / 本調子までの準備</t>
  </si>
  <si>
    <t>健康になった直後に大量アクセスを受ける場合も負荷試験する。</t>
  </si>
  <si>
    <t>トレース / SDK / Collector</t>
  </si>
  <si>
    <t>処理の足跡 / アプリ内の送信部品 / 足跡の収集係</t>
  </si>
  <si>
    <t>SDK→ADOT→保存先の各段階で失敗を扱う。</t>
  </si>
  <si>
    <t>キュー / flush</t>
  </si>
  <si>
    <t>送信を待つデータの列 / 残りを送り出す処理</t>
  </si>
  <si>
    <t>終了直前のトレースを残さないためにも設計する。</t>
  </si>
  <si>
    <t>digest</t>
  </si>
  <si>
    <t>イメージ内容を特定する値</t>
  </si>
  <si>
    <t>同じタグでも中身が変わる問題を避け、検証した版を使う。</t>
  </si>
  <si>
    <t>P99</t>
  </si>
  <si>
    <t>遅い側まで見る統計の目安</t>
  </si>
  <si>
    <t>最大時間の保証ではない。実際の遅い起動を追加で測る。</t>
  </si>
  <si>
    <t>どこに何を指定できるか</t>
  </si>
  <si>
    <t>単位は特記しない限り秒。以下の範囲はECS Fargate LinuxとALBのHTTPターゲットを中心に整理しています。</t>
  </si>
  <si>
    <t>ECSタスク定義のコンテナ項目</t>
  </si>
  <si>
    <t>JSON名 / 指定場所</t>
  </si>
  <si>
    <t>実際に指定できる値</t>
  </si>
  <si>
    <t>省略時</t>
  </si>
  <si>
    <t>今回の候補・意味</t>
  </si>
  <si>
    <t>healthCheck.command</t>
  </si>
  <si>
    <t>配列の先頭CMDまたはCMD-SHELL。終了0が成功、非0が失敗。</t>
  </si>
  <si>
    <t>健康チェックを定義しない場合は監視対象外</t>
  </si>
  <si>
    <t>HTTP検査や専用バイナリ。ツールをイメージへ同梱する。</t>
  </si>
  <si>
    <t>healthCheck.interval</t>
  </si>
  <si>
    <t>整数5–300</t>
  </si>
  <si>
    <t>30</t>
  </si>
  <si>
    <t>ADOT 5、EAP 10、CloudWatch Agent 30。成功を拾う速さと負荷の交換条件。</t>
  </si>
  <si>
    <t>healthCheck.timeout</t>
  </si>
  <si>
    <t>整数2–60</t>
  </si>
  <si>
    <t>5</t>
  </si>
  <si>
    <t>ADOT 2、EAP 5、CloudWatch Agent 5。1回の実行上限。</t>
  </si>
  <si>
    <t>healthCheck.retries</t>
  </si>
  <si>
    <t>整数1–10</t>
  </si>
  <si>
    <t>3</t>
  </si>
  <si>
    <t>通常3。P7のフロントは6とするが、稼働中の検知も遅くなる。</t>
  </si>
  <si>
    <t>healthCheck.startPeriod</t>
  </si>
  <si>
    <t>整数0–300</t>
  </si>
  <si>
    <t>無効（0相当）</t>
  </si>
  <si>
    <t>ADOT 30、CloudWatch Agent 30、EAP 60 / 90 / 100 / 210 / 270 / 300など。</t>
  </si>
  <si>
    <t>dependsOn</t>
  </si>
  <si>
    <t>同一タスク内のcontainerNameとconditionの配列</t>
  </si>
  <si>
    <t>明示的な依存なし</t>
  </si>
  <si>
    <t>APIではdependsOn。循環依存を作らない。複数条件はすべて満たす必要がある。</t>
  </si>
  <si>
    <t>dependsOn[].condition</t>
  </si>
  <si>
    <t>START / COMPLETE / SUCCESS / HEALTHY</t>
  </si>
  <si>
    <t>依存を作る場合は必須</t>
  </si>
  <si>
    <t>APIの綴りは大文字。HEALTHYはタスク定義のコンテナhealthCheckを使う。</t>
  </si>
  <si>
    <t>true / false</t>
  </si>
  <si>
    <t>true</t>
  </si>
  <si>
    <t>ADOT・バック・フロント=true、CloudWatch Agent=false。少なくとも1つtrueが必要。</t>
  </si>
  <si>
    <t>Fargate：整数2–120</t>
  </si>
  <si>
    <t>参照APIに一律の既定秒数の明記なし</t>
  </si>
  <si>
    <t>待たれるADOT / バックに120を明示。省略を120秒超の保証として利用しない。</t>
  </si>
  <si>
    <t>stopTimeout</t>
  </si>
  <si>
    <t>EAP 60、ADOT 60、CloudWatch Agent 30を検証例にする。起動猶予ではない。</t>
  </si>
  <si>
    <t>restartPolicy.enabled</t>
  </si>
  <si>
    <t>再起動ポリシーは無効</t>
  </si>
  <si>
    <t>本例の必須コンテナは無効。CloudWatch Agentの再起動は別途選択する。</t>
  </si>
  <si>
    <t>restartPolicy.restartAttemptPeriod</t>
  </si>
  <si>
    <t>整数60–1800</t>
  </si>
  <si>
    <t>300</t>
  </si>
  <si>
    <t>任意例60。毎回60秒待てば必ず再起動するという意味ではない。</t>
  </si>
  <si>
    <t>出典：S01 / S03 / S04 / S12 / S21 / S22（18_出典と適用範囲の同IDを参照）</t>
  </si>
  <si>
    <t>ECSサービスとALBターゲットグループ</t>
  </si>
  <si>
    <t>場所 / JSON・API名</t>
  </si>
  <si>
    <t>許容値 / 省略時</t>
  </si>
  <si>
    <t>設定例</t>
  </si>
  <si>
    <t>読み方</t>
  </si>
  <si>
    <t>ECS service: healthCheckGracePeriodSeconds</t>
  </si>
  <si>
    <t>0–2147483647 / 0</t>
  </si>
  <si>
    <t>150 / 300 / 420 / 450</t>
  </si>
  <si>
    <t>健康異常による早期置換の猶予。ALBを止める値ではない。</t>
  </si>
  <si>
    <t>ALB: HealthCheckProtocol</t>
  </si>
  <si>
    <t>HTTP / HTTPS / HTTP</t>
  </si>
  <si>
    <t>HTTP</t>
  </si>
  <si>
    <t>主例はALBでHTTPS終端、ターゲットへHTTP。暗号化要件によってHTTPSを選ぶ。</t>
  </si>
  <si>
    <t>ALB: HealthCheckPort</t>
  </si>
  <si>
    <t>traffic-portまたはポート1–65535</t>
  </si>
  <si>
    <t>traffic-port（8080）</t>
  </si>
  <si>
    <t>実トラフィックと同じフロントポートを確認する。</t>
  </si>
  <si>
    <t>ALB: HealthCheckPath</t>
  </si>
  <si>
    <t>HTTPパス / /</t>
  </si>
  <si>
    <t>/app/health/ready</t>
  </si>
  <si>
    <t>この資料のアプリ実装例。EAP既定URLではない。</t>
  </si>
  <si>
    <t>ALB: HealthCheckIntervalSeconds</t>
  </si>
  <si>
    <t>整数5–300 / IPターゲットは30</t>
  </si>
  <si>
    <t>10</t>
  </si>
  <si>
    <t>間隔。長くすると開始を遅らせるのではなく、成功も故障も検知しにくくなる。</t>
  </si>
  <si>
    <t>ALB: HealthCheckTimeoutSeconds</t>
  </si>
  <si>
    <t>整数2–120 / IPターゲットは5</t>
  </si>
  <si>
    <t>1回のHTTP応答待ち。intervalより小さくする設計例。</t>
  </si>
  <si>
    <t>ALB: HealthyThresholdCount</t>
  </si>
  <si>
    <t>整数2–10 / 5</t>
  </si>
  <si>
    <t>2</t>
  </si>
  <si>
    <t>一度異常になったターゲットが正常へ戻るための連続成功回数。</t>
  </si>
  <si>
    <t>ALB: UnhealthyThresholdCount</t>
  </si>
  <si>
    <t>整数2–10 / 2</t>
  </si>
  <si>
    <t>連続失敗による異常判定。通常の故障検知の遅れも評価する。</t>
  </si>
  <si>
    <t>ALB: Matcher.HttpCode</t>
  </si>
  <si>
    <t>HTTPでは200–499のコード・集合・範囲 / 200</t>
  </si>
  <si>
    <t>200</t>
  </si>
  <si>
    <t>認証画面・404・リダイレクトを誤って成功扱いしない。</t>
  </si>
  <si>
    <t>TargetType</t>
  </si>
  <si>
    <t>Fargate awsvpcではip</t>
  </si>
  <si>
    <t>ip</t>
  </si>
  <si>
    <t>instanceは今回の構成に使わない。</t>
  </si>
  <si>
    <t>slow_start.duration_seconds</t>
  </si>
  <si>
    <t>0（無効）または30–900 / 0</t>
  </si>
  <si>
    <t>0。必要なら60を負荷試験</t>
  </si>
  <si>
    <t>正常になった後にトラフィック割合を徐々に増やす機能。検査開始猶予ではない。</t>
  </si>
  <si>
    <t>deregistration_delay.timeout_seconds</t>
  </si>
  <si>
    <t>0–3600 / 300</t>
  </si>
  <si>
    <t>初期は300を維持</t>
  </si>
  <si>
    <t>停止時の接続処理。長いリクエストを確認してから短縮する。</t>
  </si>
  <si>
    <t>出典：S05 / S08 / S10 / S11 / S13 / S38（18_出典と適用範囲の同IDを参照）</t>
  </si>
  <si>
    <t>他のシステムからコピーしない項目</t>
  </si>
  <si>
    <t>KubernetesのinitialDelaySeconds / startupProbe / readinessProbe / livenessProbeは、ECSタスク定義の項目ではありません。ECSにはコンテナごとに1つのhealthCheckがあり、ALBの検査と組み合わせます。Dockerのstart_interval / --start-intervalも、この確認時点のECS HealthCheck APIには公開されていません。Dockerのtimeout既定値をECSへ持ち込まないでください。</t>
  </si>
  <si>
    <t>同じ意味でも設定ファイルによって綴りが違う</t>
  </si>
  <si>
    <t>意味</t>
  </si>
  <si>
    <t>ECS API / JSON</t>
  </si>
  <si>
    <t>CloudFormation</t>
  </si>
  <si>
    <t>Terraform</t>
  </si>
  <si>
    <t>起動失敗の猶予</t>
  </si>
  <si>
    <t>HealthCheck.StartPeriod</t>
  </si>
  <si>
    <t>container_definitions内はstartPeriod</t>
  </si>
  <si>
    <t>起動順の依存</t>
  </si>
  <si>
    <t>ContainerDefinitions内のDependsOn</t>
  </si>
  <si>
    <t>container_definitions内はdependsOn</t>
  </si>
  <si>
    <t>サービスの猶予</t>
  </si>
  <si>
    <t>HealthCheckGracePeriodSeconds</t>
  </si>
  <si>
    <t>health_check_grace_period_seconds</t>
  </si>
  <si>
    <t>ALBの検査間隔</t>
  </si>
  <si>
    <t>HealthCheckIntervalSeconds</t>
  </si>
  <si>
    <t>health_check { interval = 10 }</t>
  </si>
  <si>
    <t>リソースを作る順番</t>
  </si>
  <si>
    <t>コンテナ依存とは別</t>
  </si>
  <si>
    <t>リソース直下のDependsOn</t>
  </si>
  <si>
    <t>リソースのdepends_on</t>
  </si>
  <si>
    <t>出典：S01 / S03 / S05 / S35 / S36 / S39（18_出典と適用範囲の同IDを参照）</t>
  </si>
  <si>
    <t>dependsOnとessentialの正確な役割</t>
  </si>
  <si>
    <t>バックがADOTを待ち、フロントがバックを待つという希望の構成は、各依存先の準備時間が期限内なら利用できます。</t>
  </si>
  <si>
    <t>希望の構成と停止順  [text]</t>
  </si>
  <si>
    <t>起動：ADOT ──HEALTHY──&gt; バック ──HEALTHY──&gt; フロント</t>
  </si>
  <si>
    <t xml:space="preserve">      CloudWatch Agent ─────────────────────&gt; 独立して起動</t>
  </si>
  <si>
    <t xml:space="preserve"> </t>
  </si>
  <si>
    <t>停止：フロント → バック → ADOT（依存関係の逆向き）</t>
  </si>
  <si>
    <t xml:space="preserve">      CloudWatch Agentの順序は明示していない</t>
  </si>
  <si>
    <t>backend.dependsOn = [{containerName: "adot", condition: "HEALTHY"}]</t>
  </si>
  <si>
    <t>frontend.dependsOn = [{containerName: "backend", condition: "HEALTHY"}]</t>
  </si>
  <si>
    <t>adot.startTimeout = 120</t>
  </si>
  <si>
    <t>backend.startTimeout = 120</t>
  </si>
  <si>
    <t>出典：S03 / S04（18_出典と適用範囲の同IDを参照）</t>
  </si>
  <si>
    <t>conditionの使い分け</t>
  </si>
  <si>
    <t>値</t>
  </si>
  <si>
    <t>待つ状態</t>
  </si>
  <si>
    <t>適した用途</t>
  </si>
  <si>
    <t>今回の注意</t>
  </si>
  <si>
    <t>START</t>
  </si>
  <si>
    <t>依存先のコンテナが開始した</t>
  </si>
  <si>
    <t>順番だけを決め、アプリ側が接続失敗を再試行できる場合</t>
  </si>
  <si>
    <t>JVM開始・EAPデプロイ完了・API準備完了は別。</t>
  </si>
  <si>
    <t>HEALTHY</t>
  </si>
  <si>
    <t>依存先のコンテナヘルスチェックが成功した</t>
  </si>
  <si>
    <t>Collector受信準備や、短時間で準備できるAPIを待つ</t>
  </si>
  <si>
    <t>起動時のみ評価。後から不健康になっても起動済みフロントを順番待ちへ戻さない。</t>
  </si>
  <si>
    <t>COMPLETE</t>
  </si>
  <si>
    <t>依存先が終了した。終了コードは問わない</t>
  </si>
  <si>
    <t>終了する初期化処理</t>
  </si>
  <si>
    <t>待たれるコンテナはnon-essential。常駐ADOTやEAPには不適切。</t>
  </si>
  <si>
    <t>SUCCESS</t>
  </si>
  <si>
    <t>依存先が終了コード0で終了した</t>
  </si>
  <si>
    <t>設定ファイル生成などの成功を待つ</t>
  </si>
  <si>
    <t>待たれるコンテナはnon-essential。常駐サービスの準備待ちと混同しない。</t>
  </si>
  <si>
    <t>出典：S04（18_出典と適用範囲の同IDを参照）</t>
  </si>
  <si>
    <t>startTimeoutは待たれる側へ</t>
  </si>
  <si>
    <t>frontendがbackendのHEALTHYを待つときは、backend側のstartTimeout=120が関係します。frontendにだけ120を置いても、backendに210秒の準備時間を与えることにはなりません。公式APIのcontainerA / containerB例に合わせた説明です。ADOTの準備時間とバックの準備時間にはそれぞれの期限があり、2段だから1つの120秒を合計で分け合うという説明も適切ではありません。</t>
  </si>
  <si>
    <t>120秒ぎりぎりを目標にしない</t>
  </si>
  <si>
    <t>準備完了ログが115秒でも、次の検査が10秒後なら初回HEALTHYの通知は120秒を超え得ます。依存先の起動から実際にHEALTHYが観測されるまでを測り、例えば最大側の実測95秒＋25秒の余裕として120を設計します。省略時の内部挙動や公開Agentの実装から、Fargateで無期限に待てると断定しません。</t>
  </si>
  <si>
    <t>出典：S03 / S37（18_出典と適用範囲の同IDを参照）</t>
  </si>
  <si>
    <t>essentialと停止・健康状態</t>
  </si>
  <si>
    <t>条件</t>
  </si>
  <si>
    <t>本資料の前提で起こること</t>
  </si>
  <si>
    <t>設計判断</t>
  </si>
  <si>
    <t>ADOT=trueが終了</t>
  </si>
  <si>
    <t>再起動ポリシー無効の例では、タスクの他コンテナも停止対象になる。</t>
  </si>
  <si>
    <t>観測基盤の停止をアプリ継続より重く扱う、という可用性上の選択。</t>
  </si>
  <si>
    <t>バック / フロント=trueが終了</t>
  </si>
  <si>
    <t>同じくタスク全体の停止につながる。サービスが必要数を補充する。</t>
  </si>
  <si>
    <t>startPeriodやサービス猶予で終了そのものを無効にはできない。</t>
  </si>
  <si>
    <t>必須コンテナのhealthCheckがUNHEALTHY</t>
  </si>
  <si>
    <t>タスク健康状態はUNHEALTHY。サービスの猶予等を踏まえ置換が判断される。</t>
  </si>
  <si>
    <t>プロセス終了とhealthCheck失敗は別経路。</t>
  </si>
  <si>
    <t>CloudWatch Agent=falseが終了</t>
  </si>
  <si>
    <t>その終了だけでは他コンテナを止めない。</t>
  </si>
  <si>
    <t>監視が止まった状態でアプリが動き続けるので、送信途絶の検知を別途持つ。</t>
  </si>
  <si>
    <t>CloudWatch Agent=falseがUNHEALTHY</t>
  </si>
  <si>
    <t>そのhealthCheckはタスク全体のhealthStatus集計に含まれない。</t>
  </si>
  <si>
    <t>非必須だから自動復旧する、とは限らない。</t>
  </si>
  <si>
    <t>必須・検査ありコンテナにUNKNOWNが残る</t>
  </si>
  <si>
    <t>UNHEALTHYがなければ、タスク健康状態はUNKNOWNになる。</t>
  </si>
  <si>
    <t>検査なしコンテナを含めて全員HEALTHYが必要と誤解しない。</t>
  </si>
  <si>
    <t>出典：S02 / S03 / S21（18_出典と適用範囲の同IDを参照）</t>
  </si>
  <si>
    <t>起動後の故障は別に設計する</t>
  </si>
  <si>
    <t>HEALTHY依存は『最初に開店する順番』です。バックが後で止まったとき、フロントの既存接続の再接続、失敗したHTTP呼出しの扱い、ALBのready判定を代わりに実装してくれる機能ではありません。ADOTのhealthCheckを通過しても、その直後の障害・キューあふれ・保存先エラーは起こり得ます。</t>
  </si>
  <si>
    <t>出典：S04 / S18（18_出典と適用範囲の同IDを参照）</t>
  </si>
  <si>
    <t>時間パターン別の具体案</t>
  </si>
  <si>
    <t>全例でCloudWatch Agentは依存なし・essential=false、他3コンテナはessential=true。起動秒数は負荷試験で置き換える仮定です。</t>
  </si>
  <si>
    <t>まず選ぶための比較</t>
  </si>
  <si>
    <t>ID / 構成</t>
  </si>
  <si>
    <t>仮定の実準備時間
ADOT / バック / フロント</t>
  </si>
  <si>
    <t>startPeriod
同順＋CW Agent</t>
  </si>
  <si>
    <t>サービス猶予G</t>
  </si>
  <si>
    <t>採用判断</t>
  </si>
  <si>
    <t>P0 現在形・全コンテナ並列</t>
  </si>
  <si>
    <t>20 / 200 / 200 秒</t>
  </si>
  <si>
    <t>30 / 210 / 210 / 30 秒</t>
  </si>
  <si>
    <t>条件付き成立</t>
  </si>
  <si>
    <t>P1 希望の直列・短い起動</t>
  </si>
  <si>
    <t>15 / 70 / 50 秒</t>
  </si>
  <si>
    <t>30 / 90 / 60 / 30 秒</t>
  </si>
  <si>
    <t>成立例</t>
  </si>
  <si>
    <t>P2 希望の直列・フロントだけ遅い</t>
  </si>
  <si>
    <t>20 / 85 / 200 秒</t>
  </si>
  <si>
    <t>30 / 100 / 210 / 30 秒</t>
  </si>
  <si>
    <t>P3 反例・バックの準備が200秒</t>
  </si>
  <si>
    <t>依存期限超過</t>
  </si>
  <si>
    <t>P4 推奨候補・ADOTの後にEAP並列</t>
  </si>
  <si>
    <t>未計測時の検証候補</t>
  </si>
  <si>
    <t>P5 STARTだけで順番を付ける</t>
  </si>
  <si>
    <t>アプリの再試行が前提</t>
  </si>
  <si>
    <t>P6 遅い起動の裾・並列で猶予拡張</t>
  </si>
  <si>
    <t>20 / 290 / 250 秒</t>
  </si>
  <si>
    <t>30 / 300 / 270 / 30 秒</t>
  </si>
  <si>
    <t>長い起動を実測した場合</t>
  </si>
  <si>
    <t>P7 長いバック待ちをアプリ起動制御へ</t>
  </si>
  <si>
    <t>20 / 200 / 150 秒</t>
  </si>
  <si>
    <t>30 / 210 / 300 / 30 秒</t>
  </si>
  <si>
    <t>特別な実装が必要</t>
  </si>
  <si>
    <t>全パターン共通のALB設定例</t>
  </si>
  <si>
    <t>HTTP、traffic-port=8080、path=/app/health/ready、成功200、interval=10、timeout=5、HealthyThresholdCount=2、UnhealthyThresholdCount=3とします。P3は比較用の失敗例で、この設定を付けても依存の問題は直りません。現在のALB値が不明なため、既存値からの無条件な変更指示ではありません。検査負荷と障害時の切り離し速度を評価するための具体的な出発点です。</t>
  </si>
  <si>
    <t>出典：S08 / S09（18_出典と適用範囲の同IDを参照）</t>
  </si>
  <si>
    <t>P0：現在形・全コンテナ並列</t>
  </si>
  <si>
    <t>依存なし。起動時トレースの送信先未準備と、フロントのバック未接続をアプリ側で扱う必要があります。</t>
  </si>
  <si>
    <t>P0の見積もり</t>
  </si>
  <si>
    <t>最初のコンテナ開始をt=0とすると、バック開始t=0、フロントコンテナ開始t=0、フロントJVM開始t=0です。全体準備完了はt=222を見込み、task.startedAtをt=0と仮定すると、残り222秒＋余裕60秒=282秒。候補G=300秒はこの見積もりを上回ります。実際のstartedAtが異なる場合は再計算します。</t>
  </si>
  <si>
    <t>P1：希望の直列・短い起動</t>
  </si>
  <si>
    <t>ADOT HEALTHY → バック HEALTHY → フロント。バック初回HEALTHY=80秒で120秒以内。サービス猶予300の維持も可能ですが、150まで短くする候補を示します。</t>
  </si>
  <si>
    <t>P1の見積もり</t>
  </si>
  <si>
    <t>最初のコンテナ開始をt=0とすると、バック開始t=20、フロントコンテナ開始t=100、フロントJVM開始t=100です。全体準備完了はt=172を見込み、task.startedAtをt=100と仮定すると、残り72秒＋余裕45秒=117秒。候補G=150秒はこの見積もりを上回ります。実際のstartedAtが異なる場合は再計算します。</t>
  </si>
  <si>
    <t>P2：希望の直列・フロントだけ遅い</t>
  </si>
  <si>
    <t>ADOT HEALTHY → バック HEALTHY → フロント。バックは95秒で依存条件成立。フロント自身は200秒かかっても、誰もフロントのHEALTHYを依存待ちしないので同じ120秒制約はかかりません。</t>
  </si>
  <si>
    <t>P2の見積もり</t>
  </si>
  <si>
    <t>最初のコンテナ開始をt=0とすると、バック開始t=25、フロントコンテナ開始t=120、フロントJVM開始t=120です。全体準備完了はt=342を見込み、task.startedAtをt=120と仮定すると、残り222秒＋余裕60秒=282秒。候補G=300秒はこの見積もりを上回ります。実際のstartedAtが異なる場合は再計算します。</t>
  </si>
  <si>
    <t>P3：反例・バックの準備が200秒</t>
  </si>
  <si>
    <t>ADOT HEALTHY → バック HEALTHY → フロント。バックstartTimeout=120では、バック開始の約120秒後に依存解決失敗。600秒の猶予を設定してもフロント起動を救済できません。</t>
  </si>
  <si>
    <t>P3で起こること</t>
  </si>
  <si>
    <t>ADOTはt=25でHEALTHY、バックはt=25で開始。バックの初回HEALTHYは仮にt=235ですが、明示した120秒の依存期限はt=145付近です。したがってフロントは開始できません。『t=300でバックが健康になり、そこからフロント開始』という時系列を、このタイムアウト構成の正常動作として描くことはできません。停止の実時刻には検知・制御の遅れがあります。</t>
  </si>
  <si>
    <t>P4：推奨候補・ADOTの後にEAP並列</t>
  </si>
  <si>
    <t>ADOT HEALTHY → バック / フロント並列。バックとフロントの間にHEALTHY依存を置かず、ALBのフロントreadinessでバック利用可能性を確認します。</t>
  </si>
  <si>
    <t>P4の見積もり</t>
  </si>
  <si>
    <t>最初のコンテナ開始をt=0とすると、バック開始t=25、フロントコンテナ開始t=25、フロントJVM開始t=25です。全体準備完了はt=247を見込み、task.startedAtをt=25と仮定すると、残り222秒＋余裕60秒=282秒。候補G=300秒はこの見積もりを上回ります。実際のstartedAtが異なる場合は再計算します。</t>
  </si>
  <si>
    <t>P5：STARTだけで順番を付ける</t>
  </si>
  <si>
    <t>ADOT HEALTHY → バック START → フロント。STARTの解除からフロント開始まで5秒と仮定。API準備を待たないため、起動中の接続拒否を許容しないアプリには使えません。</t>
  </si>
  <si>
    <t>P5の見積もり</t>
  </si>
  <si>
    <t>最初のコンテナ開始をt=0とすると、バック開始t=25、フロントコンテナ開始t=30、フロントJVM開始t=30です。全体準備完了はt=252を見込み、task.startedAtをt=30と仮定すると、残り222秒＋余裕60秒=282秒。候補G=300秒はこの見積もりを上回ります。実際のstartedAtが異なる場合は再計算します。</t>
  </si>
  <si>
    <t>P6：遅い起動の裾・並列で猶予拡張</t>
  </si>
  <si>
    <t>ADOT HEALTHY → バック / フロント並列。バックのstartPeriodは上限300。初回HEALTHYが300秒を超える裾がある場合はさらにアプリ起動処理・故障検出方針を見直します。</t>
  </si>
  <si>
    <t>P6の見積もり</t>
  </si>
  <si>
    <t>最初のコンテナ開始をt=0とすると、バック開始t=25、フロントコンテナ開始t=25、フロントJVM開始t=25です。全体準備完了はt=337を見込み、task.startedAtをt=25と仮定すると、残り312秒＋余裕90秒=402秒。候補G=420秒はこの見積もりを上回ります。実際のstartedAtが異なる場合は再計算します。</t>
  </si>
  <si>
    <t>P7：長いバック待ちをアプリ起動制御へ</t>
  </si>
  <si>
    <t>ADOT HEALTHY → 両コンテナ開始 / フロントJVMはバックを待つ。フロントのコンテナは先にRUNNING。内部ラッパーが5秒周期で最大300秒バックを待ってからJVMを開始します。ネイティブのコンテナ起動順とは別です。</t>
  </si>
  <si>
    <t>P7の見積もり</t>
  </si>
  <si>
    <t>最初のコンテナ開始をt=0とすると、バック開始t=25、フロントコンテナ開始t=25、フロントJVM開始t=230です。全体準備完了はt=402を見込み、task.startedAtをt=25と仮定すると、残り377秒＋余裕60秒=437秒。候補G=450秒はこの見積もりを上回ります。実際のstartedAtが異なる場合は再計算します。</t>
  </si>
  <si>
    <t>P1のstartPeriodを210のまま残す選択</t>
  </si>
  <si>
    <t>P1のバック90・フロント60を両方210にしても、最初の成功時刻が同じなら依存解除は同じです。短縮は必須ではありません。起動の裾をまだ十分に測っていない段階では210を維持し、誤検知防止と恒久故障の検出遅延を確認する進め方も取れます。</t>
  </si>
  <si>
    <t>P2が示す大事な点</t>
  </si>
  <si>
    <t>最初のコンテナ開始から300秒を過ぎても、フロントが準備中だから直ちに猶予超過とは限りません。本例ではフロントコンテナ開始とtask.startedAtをt=120と仮定するので、G=300の期限はt=420です。t=342のALB復帰見積もりは間に合います。これを実環境でも成立と判断するには、startedAtとALBのイベントを測定します。</t>
  </si>
  <si>
    <t>P7を採る場合の追加責任</t>
  </si>
  <si>
    <t>ラッパーは固定sleepではなく、バックの準備完了を短いタイムアウト付きで確認し、上限を超えたら明確な理由で終了します。シグナルを扱い、最後はexecでEAP起動へ引き継ぎます。フロントのstartPeriodはコンテナ開始から数えるので、待機200秒＋EAP初期化150秒という合計を評価します。例ではstartPeriod=300、interval=15、retries=6で残りの失敗を許容します。稼働後の故障検知も約90秒規模へ遅くなる代償があります。</t>
  </si>
  <si>
    <t>P8：独立サービスへ分ける比較案</t>
  </si>
  <si>
    <t>さらに起動時間が長い、独立して拡縮したい、バック故障でフロントまで巻き込みたくない場合は、サービスを分ける設計もあります。各サービスに自分のADOT等を付け、アプリstartPeriod=210、ADOT/CW Agent=30、各サービスG=300を検証例とします。これは同じ4コンテナタスクではなく構成変更です。タスク間にはdependsOnを置けず、バックのサービス探索・再接続・認可・ネットワーク・先行デプロイを設計します。今回の第一選択として強制する案ではありません。</t>
  </si>
  <si>
    <t>ADOT自身が120秒を超える場合</t>
  </si>
  <si>
    <t>バックだけでなくADOTも、初回HEALTHYまで120秒以上なら明示したstartTimeout=120の依存設計に収まりません。設定読込みやリモート処理を軽くする、受信準備と外部送信先の確認を分ける、SDK側でCollector未準備を扱う構成へ変える、などを検討します。startPeriodを短くするだけではADOTの処理時間は変わりません。</t>
  </si>
  <si>
    <t>P8の設定値をそろえる場合</t>
  </si>
  <si>
    <t>各サービスのアプリ：S=210 / I=10 / T=5 / R=3、essential=true、dependsOn=自分のADOT:HEALTHY。各ADOT：S=30 / I=5 / T=2 / R=3、essential=true、startTimeout=120。各CW Agent：S=30 / I=30 / T=5 / R=3、essential=false、依存なし。ALBを使うサービスのG=300、ALBは共通の10 / 5 / 成功2 / 失敗3 / HTTP200を候補にします。既存バックサービスが準備済みという前提でフロントを更新する例です。</t>
  </si>
  <si>
    <t>4コンテナに入れる具体値</t>
  </si>
  <si>
    <t>S=startPeriod、I=interval、T=timeout、R=retries。startTimeoutは待たれる側に明示。P3は依存期限超過の反例で、採用しない設定です。</t>
  </si>
  <si>
    <t>パターン別・コンテナ別一覧</t>
  </si>
  <si>
    <t>案</t>
  </si>
  <si>
    <t>S 秒</t>
  </si>
  <si>
    <t>I 秒</t>
  </si>
  <si>
    <t>T 秒</t>
  </si>
  <si>
    <t>R 回</t>
  </si>
  <si>
    <t>startTimeout 秒</t>
  </si>
  <si>
    <t>P0</t>
  </si>
  <si>
    <t>adot</t>
  </si>
  <si>
    <t>省略</t>
  </si>
  <si>
    <t>なし</t>
  </si>
  <si>
    <t>backend</t>
  </si>
  <si>
    <t>frontend</t>
  </si>
  <si>
    <t>cwagent</t>
  </si>
  <si>
    <t>false</t>
  </si>
  <si>
    <t>P1</t>
  </si>
  <si>
    <t>adot : HEALTHY</t>
  </si>
  <si>
    <t>backend : HEALTHY</t>
  </si>
  <si>
    <t>P2</t>
  </si>
  <si>
    <t>P3</t>
  </si>
  <si>
    <t>P4</t>
  </si>
  <si>
    <t>P5</t>
  </si>
  <si>
    <t>backend : START</t>
  </si>
  <si>
    <t>P6</t>
  </si>
  <si>
    <t>P7</t>
  </si>
  <si>
    <t>検査先の前提</t>
  </si>
  <si>
    <t>ADOTはhttp://127.0.0.1:13133/。バックはhttp://127.0.0.1:8180/app/health/ready。フロントのコンテナ検査はhttp://127.0.0.1:8080/app/health/ready-localとし、フロント自体の初期化完了を調べます。ALBの/app/health/readyはバックも利用可能かを調べます。/app/health/*はこの資料で提案するアプリ用URLであり、現状のアプリに存在すると確認したものではありません。</t>
  </si>
  <si>
    <t>stopTimeoutとrestartPolicy</t>
  </si>
  <si>
    <t>停止順がある構成では、フロント・バック・ADOTのstopTimeout=60、CloudWatch Agent=30を例にします。ADOTにflush時間を確保する目的ですが、トレース損失ゼロを保証するものではありません。比較の基準を一定にするため、必須コンテナのrestartPolicyは省略（無効）とします。CloudWatch Agentの任意の再起動設定は別章で説明します。</t>
  </si>
  <si>
    <t>出典：S03 / S21（18_出典と適用範囲の同IDを参照）</t>
  </si>
  <si>
    <t>ALBの判定とECSの猶予を組み合わせる</t>
  </si>
  <si>
    <t>ALBは交通整理、ECSはタスクを維持する管理役です。同じヘルスチェック結果でも使い道が違います。</t>
  </si>
  <si>
    <t>サービス側の候補</t>
  </si>
  <si>
    <t>G 秒</t>
  </si>
  <si>
    <t>startedAt仮定</t>
  </si>
  <si>
    <t>猶予期限の例</t>
  </si>
  <si>
    <t>補足</t>
  </si>
  <si>
    <t>t=0</t>
  </si>
  <si>
    <t>t=300</t>
  </si>
  <si>
    <t>t=100</t>
  </si>
  <si>
    <t>t=250</t>
  </si>
  <si>
    <t>t=120</t>
  </si>
  <si>
    <t>t=420</t>
  </si>
  <si>
    <t>未到達</t>
  </si>
  <si>
    <t>依存失敗のため評価不可</t>
  </si>
  <si>
    <t>t=25</t>
  </si>
  <si>
    <t>t=325</t>
  </si>
  <si>
    <t>t=30</t>
  </si>
  <si>
    <t>t=330</t>
  </si>
  <si>
    <t>t=445</t>
  </si>
  <si>
    <t>t=475</t>
  </si>
  <si>
    <t>最初の1回と復帰時の2回</t>
  </si>
  <si>
    <t>新しく登録されたターゲットは、初回の正常化に成功1回でよいという例外があります。一度UNHEALTHYとなった後はHealthyThresholdCount分の連続成功が必要です。本資料は起動中に失敗して異常判定された状況も見込み、10秒間隔・2回成功の約20秒に応答の余裕2秒を加えた22秒を計算例に使います。必ず22秒で反映されるというAWSの時間保証ではありません。</t>
  </si>
  <si>
    <t>出典：S09（18_出典と適用範囲の同IDを参照）</t>
  </si>
  <si>
    <t>300秒経過した瞬間の説明</t>
  </si>
  <si>
    <t>猶予終了時にALBが初めて検査を始めるわけではありません。ALBがすでに異常と判定していれば、その健康状態をECSが置換判断に使えるようになります。停止はスケジューラの処理を経るため、必ず300.000秒で起きるわけではありません。また猶予はdesiredCountを超えるタスクの整理など、すべての停止理由を防ぐ保証ではありません。</t>
  </si>
  <si>
    <t>出典：S05（18_出典と適用範囲の同IDを参照）</t>
  </si>
  <si>
    <t>readinessを正しくしても配信を絶対に防ぐものではない</t>
  </si>
  <si>
    <t>通常は正常ターゲットへ送りますが、ALBには健康なターゲット不足時のfail openがあります。全ターゲット異常などの条件では異常ターゲットにも配信され得ます。古い正常タスクを残すローリング更新、必要台数、アプリが準備前に503を返す動作も合わせて考えます。startPeriodやGはエンドユーザーへの配信遮断スイッチではありません。</t>
  </si>
  <si>
    <t>出典：S11（18_出典と適用範囲の同IDを参照）</t>
  </si>
  <si>
    <t>Javaのウォームアップとslow start</t>
  </si>
  <si>
    <t>『リクエストに正しく答えられる』と『大量のリクエストを速く処理できる』は別です。JITやキャッシュの準備が必要なら、正常判定後の負荷を段階的に増やすslow start=60秒などを試験できます。ただし既存の正常ターゲットがない場合など適用条件があり、slow start自体を起動中のヘルスチェック失敗の回避策にはしません。</t>
  </si>
  <si>
    <t>猶予を長くする費用</t>
  </si>
  <si>
    <t>Gを300から600へ変えると、正常に起動する遅いタスクを救える場合がある一方、起動できない新タスクの失敗確定が遅れます。必要な余裕は確保し、いつまでも起動しない不具合を隠さない長さにします。intervalを長くする方法は、配信開始と稼働中の異常検知を同時に遅くするので、猶予の代用にしません。</t>
  </si>
  <si>
    <t>時刻を並べて動きを見る</t>
  </si>
  <si>
    <t>t=0は最初のコンテナ開始。イメージ取得・ENI準備の所要時間は別です。実測ではない説明用の時系列です。</t>
  </si>
  <si>
    <t>全パターンのイベント一覧</t>
  </si>
  <si>
    <t>相対時刻 秒</t>
  </si>
  <si>
    <t>イベント</t>
  </si>
  <si>
    <t>そのときの意味</t>
  </si>
  <si>
    <t>ADOT / CW Agent開始</t>
  </si>
  <si>
    <t>P0では両EAPも並列開始</t>
  </si>
  <si>
    <t>バック開始</t>
  </si>
  <si>
    <t>実準備200秒＋検知余裕10秒</t>
  </si>
  <si>
    <t>フロントコンテナ開始</t>
  </si>
  <si>
    <t>EAP/JVM開始の仮定</t>
  </si>
  <si>
    <t>task.startedAtの仮定</t>
  </si>
  <si>
    <t>G=300の時計の起点</t>
  </si>
  <si>
    <t>フロントJVM開始</t>
  </si>
  <si>
    <t>P7以外はコンテナ開始時と同じ仮定</t>
  </si>
  <si>
    <t>ADOT HEALTHY</t>
  </si>
  <si>
    <t>依存があればEAPを開始可能</t>
  </si>
  <si>
    <t>フロント経由で必要APIが利用可能</t>
  </si>
  <si>
    <t>ALBの次の成功判定を待つ</t>
  </si>
  <si>
    <t>バックHEALTHY</t>
  </si>
  <si>
    <t>startPeriod終了を待たず成功可</t>
  </si>
  <si>
    <t>フロントのローカル検査成功</t>
  </si>
  <si>
    <t>バック連動のALB検査とは分ける</t>
  </si>
  <si>
    <t>ALB復帰の見積もり</t>
  </si>
  <si>
    <t>10秒×2回＋応答余裕2秒を上乗せ</t>
  </si>
  <si>
    <t>ECSサービス猶予終了の例</t>
  </si>
  <si>
    <t>終了前にもALBの検査と配信は行われる</t>
  </si>
  <si>
    <t>実準備70秒＋検知余裕10秒</t>
  </si>
  <si>
    <t>G=150の時計の起点</t>
  </si>
  <si>
    <t>実準備85秒＋検知余裕10秒</t>
  </si>
  <si>
    <t>バック・フロントはまだ開始しない</t>
  </si>
  <si>
    <t>ADOT HEALTHY、バック開始</t>
  </si>
  <si>
    <t>バックの依存期限は開始から120秒</t>
  </si>
  <si>
    <t>バックの依存期限超過付近</t>
  </si>
  <si>
    <t>フロントは開始できず、タスク停止へ。検知遅延は別</t>
  </si>
  <si>
    <t>バックHEALTHYの想定時刻</t>
  </si>
  <si>
    <t>実際には停止により到達しない可能性。正常系の続きではない</t>
  </si>
  <si>
    <t>実準備290秒＋検知余裕10秒</t>
  </si>
  <si>
    <t>G=420の時計の起点</t>
  </si>
  <si>
    <t>P7は内部でバックを待つ</t>
  </si>
  <si>
    <t>G=450の時計の起点</t>
  </si>
  <si>
    <t>ユーザーの想定を読み替える</t>
  </si>
  <si>
    <t>『300秒時点でバックOK→フロント開始→ALBが初検査して失敗』ではなく、①バックのHEALTHYが依存期限内か、②フロント開始とtask.startedAtはいつか、③ALBがすでに検査してどの状態か、④task.startedAt＋Gより前に全体が準備完了できるか、の順に確認します。特にバック200秒の直列例は①で成立しないため、③④の延長だけでは解決しません。</t>
  </si>
  <si>
    <t>P2とP4の起動を図で比較</t>
  </si>
  <si>
    <t>1目盛り20秒。棒の区切りは概略、行見出しの数値と07_起動時系列の値が基準です。灰色の濃さで待機・初期化・準備完了を区別します。</t>
  </si>
  <si>
    <t>P2  希望の直列・フロントだけ遅い</t>
  </si>
  <si>
    <t>最初のコンテナ開始から</t>
  </si>
  <si>
    <t>ADOT
0 → 25 秒</t>
  </si>
  <si>
    <t>バック
25 → 120 秒</t>
  </si>
  <si>
    <t>フロント
120 → 330 秒</t>
  </si>
  <si>
    <t>ALB復帰まで
0 → 342 秒</t>
  </si>
  <si>
    <t>ECS猶予
120 → 420 秒</t>
  </si>
  <si>
    <t>全体健康確認 t=342。task.startedAt=t=120の仮定では、G=300の期限はt=420。</t>
  </si>
  <si>
    <t>P4  推奨候補・ADOTの後にEAP並列</t>
  </si>
  <si>
    <t>バック
25 → 235 秒</t>
  </si>
  <si>
    <t>フロント
25 → 235 秒</t>
  </si>
  <si>
    <t>ALB復帰まで
0 → 247 秒</t>
  </si>
  <si>
    <t>ECS猶予
25 → 325 秒</t>
  </si>
  <si>
    <t>全体健康確認 t=247。task.startedAt=t=25の仮定では、G=300の期限はt=325。</t>
  </si>
  <si>
    <t>P3  反例・バックの準備が200秒</t>
  </si>
  <si>
    <t>ADOT（停止処理は未描画）
0 → 25 秒</t>
  </si>
  <si>
    <t>バック
25 → 145 秒</t>
  </si>
  <si>
    <t>フロント（未起動）</t>
  </si>
  <si>
    <t>バックの想定初回HEALTHYはt=235。依存期限はt=145付近なので、フロント開始へ進めない。</t>
  </si>
  <si>
    <t>濃灰：コンテナ健康確認済み / 中灰：初期化・健康確認待ち / 淡灰：依存待ちまたはECS猶予。ALBの帯は計算上の復帰までの時間で、実際の検査開始時刻を表しません。</t>
  </si>
  <si>
    <t>値を選ぶための計算方法</t>
  </si>
  <si>
    <t>Excel版ではこの章の末尾に入力可能な計算表を付けています。計算値は時間保証ではなく、設計の不足を見つけるための見積もりです。</t>
  </si>
  <si>
    <t>記号の意味</t>
  </si>
  <si>
    <t>記号</t>
  </si>
  <si>
    <t>今回の扱い</t>
  </si>
  <si>
    <t>A / B / F</t>
  </si>
  <si>
    <t>それぞれADOT・バック・フロントの実準備時間</t>
  </si>
  <si>
    <t>コンテナ開始からサービス提供可能になるまで。P7のFはJVM開始から。</t>
  </si>
  <si>
    <t>dA / dB / dF</t>
  </si>
  <si>
    <t>準備完了から最初のHEALTHY観測までの余裕</t>
  </si>
  <si>
    <t>検査待ち・実行・通知の遅れ。例では5 / 10 / 10秒など。</t>
  </si>
  <si>
    <t>HA / HB / HF</t>
  </si>
  <si>
    <t>A+dA / B+dB / F+dF</t>
  </si>
  <si>
    <t>startPeriodの値ではない。実測で置き換える。</t>
  </si>
  <si>
    <t>I / H / τ</t>
  </si>
  <si>
    <t>ALB検査間隔・復帰成功回数・応答等の余裕</t>
  </si>
  <si>
    <t>主例は10 / 2 / 2。管理系の反映遅れは別途余裕へ。</t>
  </si>
  <si>
    <t>Ts</t>
  </si>
  <si>
    <t>task.startedAtをt=0からの相対時刻にした値</t>
  </si>
  <si>
    <t>最初のコンテナ開始時刻と一致するとは限らない。</t>
  </si>
  <si>
    <t>M</t>
  </si>
  <si>
    <t>ばらつきに対する設計余裕</t>
  </si>
  <si>
    <t>45 / 60 / 90秒の仮定。測定で調整する。</t>
  </si>
  <si>
    <t>G</t>
  </si>
  <si>
    <t>必要残時間＋M以上を候補にする。</t>
  </si>
  <si>
    <t>基本式  [text]</t>
  </si>
  <si>
    <t>バック初回HEALTHY：バック開始 + HB</t>
  </si>
  <si>
    <t>フロント初回HEALTHY：フロントJVM開始 + HF</t>
  </si>
  <si>
    <t>フロント経由のreadiness成立：max(バック開始 + B, フロントJVM開始 + F)</t>
  </si>
  <si>
    <t>ALB復帰見積もり：readiness成立 + I × H + τ</t>
  </si>
  <si>
    <t>全体の健康確認：max(必須コンテナの初回HEALTHY時刻, ALB復帰見積もり)</t>
  </si>
  <si>
    <t>必要な猶予 G_needed：max(0, 全体の健康確認 - Ts) + M</t>
  </si>
  <si>
    <t>直列の成立条件：HA &lt; ADOT.startTimeout かつ HB &lt; backend.startTimeout</t>
  </si>
  <si>
    <t>Fargateで明示可能なstartTimeout：最大120秒</t>
  </si>
  <si>
    <t>（等号ぎりぎりは検知の揺れがあるため採用しない）</t>
  </si>
  <si>
    <t>依存関係で変わる式</t>
  </si>
  <si>
    <t>直列ならバック開始=HA、フロント開始=HA+HBです。ADOTの後に両EAPを並列にするなら、両者の開始=HAです。後者はB+Fではなくmax(B,F)が中心になります。CloudWatch Agentは依存なし・非必須なので、自動的にこの直列和へ加えません。ただし同じCPU・メモリ・ネットワークを使うため、その競合を含む起動時間を測定します。</t>
  </si>
  <si>
    <t>startPeriodの決め方</t>
  </si>
  <si>
    <t>各コンテナの開始から初回成功までの分布を取り、通常の遅い側でも起動途中の失敗を数えすぎない値を選びます。例えばバック200秒＋検知余裕10秒なら210を試す、290秒＋10秒なら上限300を試す、という選び方です。必ずその秒数で起動完了するという意味ではありません。早期の誤った成功があると猶予が終わるため、プローブが本当の準備完了条件を見ていることが先です。</t>
  </si>
  <si>
    <t>P99と最悪値</t>
  </si>
  <si>
    <t>多数回の起動からP50・P95・P99・最大を求めます。P99とは100回中およそ99回がその時間以内という分位の目安で、最大値の保証ではありません。各段階のP99を足しても全体のP99と等しいとは限りません。同時起動、CPU制約、イメージ取得、DB混雑を含む実際の1本の起動チェーンも測ります。</t>
  </si>
  <si>
    <t>故障検出時間の式の限界</t>
  </si>
  <si>
    <t>おおまかな検知速度はinterval×retriesで比較できますが、次の検査までの位相、コマンド実行時間、通知遅延があります。ALBもinterval×UnhealthyThresholdCountは規模感であり、厳密な停止時刻ではありません。timeoutの長い外部コマンドを重ねるとさらに遅くなるので、HTTPクライアントの上限もECS timeoutより短くします。</t>
  </si>
  <si>
    <t>入力できる計算表：白いB列を変更 / 灰色B列は計算結果</t>
  </si>
  <si>
    <t>P4を初期値とします。直列へ切り替えるとバック120秒の成立条件も判定します。startPeriodは準備時間の式に足しません。</t>
  </si>
  <si>
    <t>構成モード</t>
  </si>
  <si>
    <t>選択</t>
  </si>
  <si>
    <t>全並列 / ADOT後に並列 / 直列 / START / JVM待機</t>
  </si>
  <si>
    <t>ADOT後に並列</t>
  </si>
  <si>
    <t>ADOT実準備 A</t>
  </si>
  <si>
    <t>秒</t>
  </si>
  <si>
    <t>ADOTコンテナ開始から実際の準備完了まで。</t>
  </si>
  <si>
    <t>バック実準備 B</t>
  </si>
  <si>
    <t>バックコンテナ開始からAPIが使えるまで。</t>
  </si>
  <si>
    <t>フロント実準備 F</t>
  </si>
  <si>
    <t>フロントJVM開始からフロント自体が準備完了するまで。</t>
  </si>
  <si>
    <t>ADOT検知余裕 dA</t>
  </si>
  <si>
    <t>検査位相・実行・通知の遅れを含む入力。</t>
  </si>
  <si>
    <t>バック検知余裕 dB</t>
  </si>
  <si>
    <t>実測値に置き換える。</t>
  </si>
  <si>
    <t>フロント検知余裕 dF</t>
  </si>
  <si>
    <t>START遅れ / JVM待ち確認遅れ</t>
  </si>
  <si>
    <t>STARTはコンテナ開始までの遅れ。JVM待機は準備完了を拾う遅れ。</t>
  </si>
  <si>
    <t>task.startedAtの相対時刻 Ts</t>
  </si>
  <si>
    <t>起点t=0からの値を実測する。モード変更時は必ず確認。</t>
  </si>
  <si>
    <t>ALB interval I</t>
  </si>
  <si>
    <t>指定可能5–300。</t>
  </si>
  <si>
    <t>ALB復帰成功回数 H</t>
  </si>
  <si>
    <t>回</t>
  </si>
  <si>
    <t>指定可能2–10。新規登録の初回成功1回とは区別。</t>
  </si>
  <si>
    <t>ALB応答等の余裕 τ</t>
  </si>
  <si>
    <t>AWSの最大値保証ではない。伝播遅延も必要に応じMに含める。</t>
  </si>
  <si>
    <t>追加の設計余裕 M</t>
  </si>
  <si>
    <t>起動のばらつき・管理系の通知遅れなど。</t>
  </si>
  <si>
    <t>採用候補G</t>
  </si>
  <si>
    <t>ECSサービスのhealthCheckGracePeriodSeconds。</t>
  </si>
  <si>
    <t>ADOT startTimeout</t>
  </si>
  <si>
    <t>ADOTのHEALTHYを待つ場合。Fargate上限120。</t>
  </si>
  <si>
    <t>バック startTimeout</t>
  </si>
  <si>
    <t>直列モードだけでHEALTHY依存の成立条件に使う。</t>
  </si>
  <si>
    <t>計算結果（入力した仮定が正しい場合）</t>
  </si>
  <si>
    <t>ADOT初回HEALTHY HA</t>
  </si>
  <si>
    <t>startPeriodではなく、実準備時間＋検知余裕。</t>
  </si>
  <si>
    <t>バック初回HEALTHY HB</t>
  </si>
  <si>
    <t>バック自身の開始から数える。直列なら120秒との比較が重要。</t>
  </si>
  <si>
    <t>フロント初回HEALTHY HF</t>
  </si>
  <si>
    <t>JVM開始から数える。ラッパー待機分は別に加算。</t>
  </si>
  <si>
    <t>バック開始時刻</t>
  </si>
  <si>
    <t>最初のコンテナ開始をt=0とする。</t>
  </si>
  <si>
    <t>依存期限超過時は、この値に到達しない。下の判定を先に確認する。</t>
  </si>
  <si>
    <t>JVM待機だけはコンテナが開始した後に待つ。</t>
  </si>
  <si>
    <t>ALB用readiness成立</t>
  </si>
  <si>
    <t>フロントとバックの双方が実際に利用可能な時刻。</t>
  </si>
  <si>
    <t>ALB復帰見積もり</t>
  </si>
  <si>
    <t>復帰の連続成功回数を使う。初回成功だけならより早い場合がある。</t>
  </si>
  <si>
    <t>全体の健康確認時刻</t>
  </si>
  <si>
    <t>必須コンテナとALBの遅い方。CloudWatch Agentは非必須・依存なし。</t>
  </si>
  <si>
    <t>必要猶予の見積もり</t>
  </si>
  <si>
    <t>ECS内部の厳密な実行期限ではない。ログ・イベントで実証する。</t>
  </si>
  <si>
    <t>30秒単位の切り上げ候補</t>
  </si>
  <si>
    <t>使いやすい整数へ丸めた候補。AWS公式の推奨値ではない。</t>
  </si>
  <si>
    <t>ADOT依存の判定</t>
  </si>
  <si>
    <t>判定</t>
  </si>
  <si>
    <t>期限と同時では余裕なしとして期限不足にする。</t>
  </si>
  <si>
    <t>バックHEALTHY依存の判定</t>
  </si>
  <si>
    <t>STARTをHEALTHY待ちと誤解しない。</t>
  </si>
  <si>
    <t>総合判定</t>
  </si>
  <si>
    <t>依存構成が不成立なら、猶予の計算より先に依存を見直す。</t>
  </si>
  <si>
    <t>UBI / Java / EAPで何を確かめるか</t>
  </si>
  <si>
    <t>JVMプロセスがあることと、WARのデプロイが完了しAPIを使えることは別です。</t>
  </si>
  <si>
    <t>準備完了までの段階</t>
  </si>
  <si>
    <t>段階</t>
  </si>
  <si>
    <t>見える状態の例</t>
  </si>
  <si>
    <t>この段階だけでは不足する理由</t>
  </si>
  <si>
    <t>コンテナ開始</t>
  </si>
  <si>
    <t>コンテナのlastStatus=RUNNING</t>
  </si>
  <si>
    <t>entrypointが動き始めただけかもしれない。</t>
  </si>
  <si>
    <t>JVM開始</t>
  </si>
  <si>
    <t>javaプロセスが存在</t>
  </si>
  <si>
    <t>クラス読み込み、モジュール初期化、Java Agent初期化が残る。</t>
  </si>
  <si>
    <t>EAPのポート待受</t>
  </si>
  <si>
    <t>8080や8180へTCP接続可能</t>
  </si>
  <si>
    <t>目的のWARが未デプロイ、デプロイ失敗、必要資源未初期化の場合がある。</t>
  </si>
  <si>
    <t>EAPのサーバー準備</t>
  </si>
  <si>
    <t>server-state=running、boot / deploymentにエラーなし</t>
  </si>
  <si>
    <t>アプリ独自の初期データや必須APIの準備は別に確認する。</t>
  </si>
  <si>
    <t>アプリのreadiness</t>
  </si>
  <si>
    <t>必要なハンドラ・初期化・最小限の依存が利用可能</t>
  </si>
  <si>
    <t>実トラフィック量での遅延・JIT性能は負荷試験で確認する。</t>
  </si>
  <si>
    <t>出典：S26 / S27（18_出典と適用範囲の同IDを参照）</t>
  </si>
  <si>
    <t>同一タスク内のポート例</t>
  </si>
  <si>
    <t>HTTP / 管理 / 受信</t>
  </si>
  <si>
    <t>指定・用途</t>
  </si>
  <si>
    <t>8080 / 9990</t>
  </si>
  <si>
    <t>HTTPはALBから到達可能なアドレスで待受。管理は127.0.0.1へ制限する例。</t>
  </si>
  <si>
    <t>8180 / 10090</t>
  </si>
  <si>
    <t>標準ソケット構成ならport-offset=100。フロントは127.0.0.1:8180へアクセス。</t>
  </si>
  <si>
    <t>13133 / OTLP 4317・4318</t>
  </si>
  <si>
    <t>health_checkとOTLPは別。タスク内専用なら127.0.0.1を明示。</t>
  </si>
  <si>
    <t>用途で決定。Application Signals例は4316</t>
  </si>
  <si>
    <t>ADOTと4317 / 4318などを二重にバインドしない。</t>
  </si>
  <si>
    <t>出典：S13 / S20 / S25（18_出典と適用範囲の同IDを参照）</t>
  </si>
  <si>
    <t>EAPのポートオフセット</t>
  </si>
  <si>
    <t>バックのstandalone起動に-Djboss.socket.binding.port-offset=100を加える例では、標準の8080は8180、9990は10090になります。既存のsocket-binding-groupやfixed-port等で上書きされていれば結果は変わるため、管理API・起動ログ・待受を確認します。HTTPだけでなく管理、HTTPS、トランザクション、必要なクラスタ用ポートも確認します。コンテナが別でもネットワーク空間が共通なので衝突を避けられません。</t>
  </si>
  <si>
    <t>出典：S13 / S25（18_出典と適用範囲の同IDを参照）</t>
  </si>
  <si>
    <t>EAP標準healthとアプリ用healthを区別</t>
  </si>
  <si>
    <t>Red HatのEAP 8.1 / XP 6.0資料にはSmallRye Health、standaloneでの利用、管理インターフェイスの/healthが記載されています。ただし今回のカスタムUBIイメージに、どのプロファイル・Galleon layer・拡張が入っているかは未確認です。/health/readyや/health/liveを使う場合は実際のsubsystemとHTTP応答を確認します。EAPのバージョン名だけから、アプリポート8080に/healthが必ず存在すると決めません。</t>
  </si>
  <si>
    <t>アプリ用エンドポイントの契約</t>
  </si>
  <si>
    <t>バックの/app/health/readyは、目的のアプリが初期化を終え、必要な処理を受けられるときだけ200、それ以外は503を返す設計例です。フロントの/app/health/ready-localはフロント自体、/app/health/readyはフロント自体＋バックの利用可能性を判定します。認証画面へ転送したり、まだ準備していないのに固定200を返したりしないようにします。実URLはアプリ実装に合わせて変更します。</t>
  </si>
  <si>
    <t>readinessとlivenessを一緒にするときの注意</t>
  </si>
  <si>
    <t>livenessは『自分が生きていて処理を続けられるか』、readinessは『今リクエストを受けてよいか』です。ECSの1つのコンテナhealthCheckをHEALTHY依存に使うと、起動後も同じ条件で監視します。共通DBや外部APIの短い障害を毎回UNHEALTHYへ結び付けると、再起動しても直らないタスクを大量に置換することがあります。起動完了条件と継続的なローカル健全性を設計し、外部サービスの可用性はALB readinessや別監視との役割を決めます。</t>
  </si>
  <si>
    <t>出典：S01 / S04（18_出典と適用範囲の同IDを参照）</t>
  </si>
  <si>
    <t>軽い検査を作る</t>
  </si>
  <si>
    <t>健康確認で毎回重い業務処理や大量SELECTを実行しません。バックへの小さな確認に1秒の上限、確認結果を2秒程度だけキャッシュする、といった具体案をアプリ要件に合わせて評価できます。ALBの各ノードとコンテナの両方から呼ばれるので、1つのタスクに10秒ごと1回しか来ないと決めつけません。</t>
  </si>
  <si>
    <t>出典：S08（18_出典と適用範囲の同IDを参照）</t>
  </si>
  <si>
    <t>サイドカーの開始・検査・欠損対策</t>
  </si>
  <si>
    <t>サイドカーは軽いことが多くても、起動0秒とは扱いません。設定読み込みやCPU競合を含めて測ります。</t>
  </si>
  <si>
    <t>ADOT 13133の正体</t>
  </si>
  <si>
    <t>13133はhealth_check拡張のHTTPポートです。OTLPを受け取る4317 / 4318とは役割が違います。設定ファイルのextensionsにhealth_checkを書くだけでなく、service.extensionsで有効化します。参照した公式ADOTイメージ実装には/healthcheckがあり、標準では127.0.0.1:13133/のHTTP 200を確認します。実際の採用タグ / digestでも同じバイナリ・設定を確かめます。</t>
  </si>
  <si>
    <t>出典：S15 / S16 / S17（18_出典と適用範囲の同IDを参照）</t>
  </si>
  <si>
    <t>ADOTの健康＝トレース欠損ゼロではない</t>
  </si>
  <si>
    <t>この依存関係はバックがCollectorの準備前に送ってしまう競合を減らします。一方、受信後の送信失敗、IAM不足、保存先障害、SDKのサンプリング、メモリキュー満杯、Collector終了時の未送信データは別問題です。アプリ起動直後に識別できるテストトレースを送り、保存先で観測する試験が必要です。HEALTHYを待つだけで『確実な受信・保存』と断定しません。</t>
  </si>
  <si>
    <t>出典：S17 / S18（18_出典と適用範囲の同IDを参照）</t>
  </si>
  <si>
    <t>キューと再試行をどこへ置くか</t>
  </si>
  <si>
    <t>SDKからCollectorに到達できない時間にはSDK側のバッファと再試行が必要です。Collectorが受け取った後の保存先障害には、対応exporterのsending_queue / retry_on_failureが関係します。Collectorのメモリキューはタスク置換で失われ得ます。永続キューもFargateの一時ストレージに置くだけでは、タスクをまたぐ耐久性の保証にはなりません。永続化・順序・重複・容量は別に設計します。</t>
  </si>
  <si>
    <t>出典：S18（18_出典と適用範囲の同IDを参照）</t>
  </si>
  <si>
    <t>health_checkのバージョン差</t>
  </si>
  <si>
    <t>参照したOpenTelemetryのmain文書には、従来のパイプライン検査機能の制約と、コンポーネント状態を使う新しい方式への移行が記載されています。upstreamの最新オプションが、そのまま選択したADOT配布版に含まれるとは限りません。今回の設定例は基本のhealth_checkを用い、バージョンを固定して検証する前提です。</t>
  </si>
  <si>
    <t>出典：S17（18_出典と適用範囲の同IDを参照）</t>
  </si>
  <si>
    <t>CloudWatch Agentのプロセス検査</t>
  </si>
  <si>
    <t>プロセスの存在を確認することは、設定の読み込み成功やCloudWatchへの送信成功までは検査しません。startPeriod=30、interval=30、timeout=5、retries=3という例で軽い生存確認を行い、メトリクス・ログの送信途絶を別に監視します。非必須のため、これが不健康でもタスク全体の健康判定へ自動的には反映しません。</t>
  </si>
  <si>
    <t>出典：S02 / S19（18_出典と適用範囲の同IDを参照）</t>
  </si>
  <si>
    <t>公式イメージにshやpgrepがあるとは限らない</t>
  </si>
  <si>
    <t>参照したCloudWatch Agent公式Dockerfileは最終段がscratchです。CMD-SHELLでpgrepを実行する例を、そのまま公式イメージへ入れるとコマンド自体が存在せず失敗する可能性があります。専用の静的プローブを派生イメージへ同梱してCMDで実行する方法、またはシェル・procpsを備えた管理下のイメージを使う方法を示します。</t>
  </si>
  <si>
    <t>出典：S19（18_出典と適用範囲の同IDを参照）</t>
  </si>
  <si>
    <t>ADOTとCloudWatch Agentの担当</t>
  </si>
  <si>
    <t>例えばトレースはADOT、特定メトリクスはCloudWatch Agent、と送信経路を決めます。Application Signalsを有効にしたCloudWatch Agentがトレースも受ける場合は、ADOTとの重複送信、受信ポートの衝突、Java Agentの二重導入がないかを確認します。今回の『CloudWatch Agentは依存なし』は、アプリの起動やトレース開始がそのAgentの準備に依存しないという業務上の前提です。</t>
  </si>
  <si>
    <t>出典：S20（18_出典と適用範囲の同IDを参照）</t>
  </si>
  <si>
    <t>コンテナ内で動く検査の具体例</t>
  </si>
  <si>
    <t>以下の/app/health/*は提案する契約です。実装済みのURLへ合わせ、成功・失敗の両方を実イメージで試験してください。</t>
  </si>
  <si>
    <t>バック：HTTPが正確に200か確認  [sh]</t>
  </si>
  <si>
    <t>code=$(curl --noproxy '*' --silent --show-error --output /dev/null --write-out '%{http_code}' --connect-timeout 1 --max-time 3 http://127.0.0.1:8180/app/health/ready) &amp;&amp; [ "$code" = "200" ]</t>
  </si>
  <si>
    <t>フロント：ローカル準備完了だけを確認  [sh]</t>
  </si>
  <si>
    <t>code=$(curl --noproxy '*' --silent --show-error --output /dev/null --write-out '%{http_code}' --connect-timeout 1 --max-time 3 http://127.0.0.1:8080/app/health/ready-local) &amp;&amp; [ "$code" = "200" ]</t>
  </si>
  <si>
    <t>このコマンドにした理由</t>
  </si>
  <si>
    <t>curlの-fだけでは3xxを失敗扱いしないため、明示的に200を比較します。リダイレクトを追跡する-Lは付けません。接続待ち1秒・全体3秒に制限し、ECS timeout=5の内側で終わるようにします。--noproxyでlocalhost検査がHTTPプロキシへ出ないようにします。UBIの種類によりcurlや/bin/shの同梱状況が違うので、イメージビルド時に確認します。</t>
  </si>
  <si>
    <t>ADOT：公式同梱バイナリを使うECSコマンド  [json]</t>
  </si>
  <si>
    <t>["CMD", "/healthcheck"]</t>
  </si>
  <si>
    <t>出典：S15 / S16（18_出典と適用範囲の同IDを参照）</t>
  </si>
  <si>
    <t>ADOTコマンドの調整範囲</t>
  </si>
  <si>
    <t>参照した実装は-portでポートを変更できますが、パスは/です。health_checkのパスを変えたのに、このバイナリが同じパスを検査すると決めないでください。例ではendpoint=127.0.0.1:13133、path=/を明示します。コマンド自体のHTTP待ち時間はECS timeout=2で上限を持たせる例です。</t>
  </si>
  <si>
    <t>出典：S16（18_出典と適用範囲の同IDを参照）</t>
  </si>
  <si>
    <t>CloudWatch Agent：プローブ同梱済み派生イメージの例  [json]</t>
  </si>
  <si>
    <t>["CMD", "/usr/local/bin/proc-healthcheck", "/opt/aws/amazon-cloudwatch-agent/bin/amazon-cloudwatch-agent"]</t>
  </si>
  <si>
    <t>proc-healthcheckはこの資料の追加実装</t>
  </si>
  <si>
    <t>上記パスは公式CloudWatch Agentに元からあるコマンドではありません。付録のGo実装をLinux向けに静的ビルドしてCOPYした派生イメージでのみ使います。/proc内の実行ファイルの絶対パスを確認するため、pgrepの短いプロセス名制約や検索コマンド自身への一致を避けられます。コンテナのPID名前空間を標準のまま使う前提です。</t>
  </si>
  <si>
    <t>シェルとprocpsが存在すると確認したイメージだけの代替  [json]</t>
  </si>
  <si>
    <t>["CMD-SHELL", "pgrep -f '^/opt/aws/amazon-cloudwatch-agent/bin/amazon-cloudwatch-agent([[:space:]]|$)' &gt;/dev/null"]</t>
  </si>
  <si>
    <t>プロセス確認の限界</t>
  </si>
  <si>
    <t>代替pgrep例は起動コマンドのargv[0]が上記絶対パスである前提です。pgrep -x amazon-cloudwatch-agentのような長い名前は、環境のプロセス名の長さ制限で一致しないことがあります。kill -0 1も、PID 1がランチャーならAgent自身の存在を証明しません。プロセス検査だけではハングや送信エラーを見つけられないことを運用監視で補います。</t>
  </si>
  <si>
    <t>ECS JSONへ落とし込む</t>
  </si>
  <si>
    <t>テンプレート。REPLACE_WITH_*を置換し、既存のログ・Secrets・CPU/メモリ・起動引数等へ統合して使用します。</t>
  </si>
  <si>
    <t>このJSONの前提</t>
  </si>
  <si>
    <t>P4を主例にします。タスク2 vCPU / 8 GiBは4コンテナを置く形式例であり、2つのEAPに十分なサイズだと検証したものではありません。Javaヒープだけでなくメタスペース・直接メモリ・スレッド・Java Agent・サイドカーを含むメモリと、並列起動時のCPUを計測します。ARM64を使う場合はruntimePlatformと全イメージのアーキテクチャを合わせます。</t>
  </si>
  <si>
    <t>イメージ側で完了しておくこと</t>
  </si>
  <si>
    <t>バックEAPにport-offset=100、フロントのHTTP待受にALBからの到達性、管理インターフェイスに適切な制限を設定します。各/app/health/*を実装し、curl・シェルを確認します。ADOTには後述の設定ファイル、CW Agentには実用途の設定とproc-healthcheckを同梱します。既存のentrypointやJAVA_OPTSをこの資料の例で無条件に上書きしないでください。</t>
  </si>
  <si>
    <t>P4：タスク定義の全体例  [json]</t>
  </si>
  <si>
    <t>{</t>
  </si>
  <si>
    <t xml:space="preserve">  "family": "eap-healthcheck-example",</t>
  </si>
  <si>
    <t xml:space="preserve">  "requiresCompatibilities": [</t>
  </si>
  <si>
    <t xml:space="preserve">    "FARGATE"</t>
  </si>
  <si>
    <t xml:space="preserve">  ],</t>
  </si>
  <si>
    <t xml:space="preserve">  "networkMode": "awsvpc",</t>
  </si>
  <si>
    <t xml:space="preserve">  "cpu": "2048",</t>
  </si>
  <si>
    <t xml:space="preserve">  "memory": "8192",</t>
  </si>
  <si>
    <t xml:space="preserve">  "runtimePlatform": {</t>
  </si>
  <si>
    <t xml:space="preserve">    "operatingSystemFamily": "LINUX",</t>
  </si>
  <si>
    <t xml:space="preserve">    "cpuArchitecture": "X86_64"</t>
  </si>
  <si>
    <t xml:space="preserve">  },</t>
  </si>
  <si>
    <t xml:space="preserve">  "executionRoleArn": "REPLACE_WITH_EXECUTION_ROLE_ARN",</t>
  </si>
  <si>
    <t xml:space="preserve">  "taskRoleArn": "REPLACE_WITH_TASK_ROLE_ARN",</t>
  </si>
  <si>
    <t xml:space="preserve">  "containerDefinitions": [</t>
  </si>
  <si>
    <t xml:space="preserve">    {</t>
  </si>
  <si>
    <t xml:space="preserve">      "name": "adot",</t>
  </si>
  <si>
    <t xml:space="preserve">      "image": "REPLACE_WITH_ADOT_IMAGE_DIGEST",</t>
  </si>
  <si>
    <t xml:space="preserve">      "essential": true,</t>
  </si>
  <si>
    <t xml:space="preserve">      "stopTimeout": 60,</t>
  </si>
  <si>
    <t xml:space="preserve">      "healthCheck": {</t>
  </si>
  <si>
    <t xml:space="preserve">        "command": [</t>
  </si>
  <si>
    <t xml:space="preserve">          "CMD",</t>
  </si>
  <si>
    <t xml:space="preserve">          "/healthcheck"</t>
  </si>
  <si>
    <t xml:space="preserve">        ],</t>
  </si>
  <si>
    <t xml:space="preserve">        "interval": 5,</t>
  </si>
  <si>
    <t xml:space="preserve">        "timeout": 2,</t>
  </si>
  <si>
    <t xml:space="preserve">        "retries": 3,</t>
  </si>
  <si>
    <t xml:space="preserve">        "startPeriod": 30</t>
  </si>
  <si>
    <t xml:space="preserve">      },</t>
  </si>
  <si>
    <t xml:space="preserve">      "startTimeout": 120,</t>
  </si>
  <si>
    <t xml:space="preserve">      "command": [</t>
  </si>
  <si>
    <t xml:space="preserve">        "--config=/etc/ecs/otel-config.yaml"</t>
  </si>
  <si>
    <t xml:space="preserve">      ]</t>
  </si>
  <si>
    <t xml:space="preserve">    },</t>
  </si>
  <si>
    <t xml:space="preserve">      "name": "backend",</t>
  </si>
  <si>
    <t xml:space="preserve">      "image": "REPLACE_WITH_BACKEND_UBI_EAP_IMAGE_DIGEST",</t>
  </si>
  <si>
    <t xml:space="preserve">          "CMD-SHELL",</t>
  </si>
  <si>
    <t xml:space="preserve">          "code=$(curl --noproxy '*' --silent --show-error --output /dev/null --write-out '%{http_code}' --connect-timeout 1 --max-time 3 http://127.0.0.1:8180/app/health/ready) &amp;&amp; [ \"$code\" = \"200\" ]"</t>
  </si>
  <si>
    <t xml:space="preserve">        "interval": 10,</t>
  </si>
  <si>
    <t xml:space="preserve">        "timeout": 5,</t>
  </si>
  <si>
    <t xml:space="preserve">        "startPeriod": 210</t>
  </si>
  <si>
    <t xml:space="preserve">      "dependsOn": [</t>
  </si>
  <si>
    <t xml:space="preserve">        {</t>
  </si>
  <si>
    <t xml:space="preserve">          "containerName": "adot",</t>
  </si>
  <si>
    <t xml:space="preserve">          "condition": "HEALTHY"</t>
  </si>
  <si>
    <t xml:space="preserve">        }</t>
  </si>
  <si>
    <t xml:space="preserve">      "name": "frontend",</t>
  </si>
  <si>
    <t xml:space="preserve">      "image": "REPLACE_WITH_FRONTEND_UBI_EAP_IMAGE_DIGEST",</t>
  </si>
  <si>
    <t xml:space="preserve">          "code=$(curl --noproxy '*' --silent --show-error --output /dev/null --write-out '%{http_code}' --connect-timeout 1 --max-time 3 http://127.0.0.1:8080/app/health/ready-local) &amp;&amp; [ \"$code\" = \"200\" ]"</t>
  </si>
  <si>
    <t xml:space="preserve">      ],</t>
  </si>
  <si>
    <t xml:space="preserve">      "portMappings": [</t>
  </si>
  <si>
    <t xml:space="preserve">          "name": "frontend-http",</t>
  </si>
  <si>
    <t xml:space="preserve">          "containerPort": 8080,</t>
  </si>
  <si>
    <t xml:space="preserve">          "protocol": "tcp"</t>
  </si>
  <si>
    <t xml:space="preserve">      "name": "cwagent",</t>
  </si>
  <si>
    <t xml:space="preserve">      "image": "REPLACE_WITH_CWAGENT_IMAGE_WITH_PROC_HEALTHCHECK",</t>
  </si>
  <si>
    <t xml:space="preserve">      "essential": false,</t>
  </si>
  <si>
    <t xml:space="preserve">      "stopTimeout": 30,</t>
  </si>
  <si>
    <t xml:space="preserve">          "/usr/local/bin/proc-healthcheck",</t>
  </si>
  <si>
    <t xml:space="preserve">          "/opt/aws/amazon-cloudwatch-agent/bin/amazon-cloudwatch-agent"</t>
  </si>
  <si>
    <t xml:space="preserve">        "interval": 30,</t>
  </si>
  <si>
    <t xml:space="preserve">      }</t>
  </si>
  <si>
    <t xml:space="preserve">    }</t>
  </si>
  <si>
    <t xml:space="preserve">  ]</t>
  </si>
  <si>
    <t>}</t>
  </si>
  <si>
    <t>運用設定の補完</t>
  </si>
  <si>
    <t>上の例はヘルスチェックと依存の配置が分かるように、logConfiguration・secrets・各コンテナの細かな資源配分を省いています。採用環境の設定を維持して統合してください。executionRoleArnはイメージ取得・ログ・Secrets等、taskRoleArnはアプリやCollector等のAWS API利用に使い、用途に必要な権限を与えます。外部に公開しない13133や管理ポートはALBへ登録しません。</t>
  </si>
  <si>
    <t>ECSサービスへ統合する断片（単独のcreate-service入力ではない）  [json]</t>
  </si>
  <si>
    <t xml:space="preserve">  "healthCheckGracePeriodSeconds": 300,</t>
  </si>
  <si>
    <t xml:space="preserve">  "desiredCount": 2,</t>
  </si>
  <si>
    <t xml:space="preserve">  "deploymentConfiguration": {</t>
  </si>
  <si>
    <t xml:space="preserve">    "minimumHealthyPercent": 100,</t>
  </si>
  <si>
    <t xml:space="preserve">    "maximumPercent": 200,</t>
  </si>
  <si>
    <t xml:space="preserve">    "deploymentCircuitBreaker": {</t>
  </si>
  <si>
    <t xml:space="preserve">      "enable": true,</t>
  </si>
  <si>
    <t xml:space="preserve">      "rollback": true</t>
  </si>
  <si>
    <t xml:space="preserve">  "loadBalancers": [</t>
  </si>
  <si>
    <t xml:space="preserve">      "targetGroupArn": "REPLACE_WITH_TARGET_GROUP_ARN",</t>
  </si>
  <si>
    <t xml:space="preserve">      "containerName": "frontend",</t>
  </si>
  <si>
    <t xml:space="preserve">      "containerPort": 8080</t>
  </si>
  <si>
    <t>出典：S05 / S23 / S24（18_出典と適用範囲の同IDを参照）</t>
  </si>
  <si>
    <t>ALBターゲットグループへ統合する断片  [json]</t>
  </si>
  <si>
    <t xml:space="preserve">  "Protocol": "HTTP",</t>
  </si>
  <si>
    <t xml:space="preserve">  "Port": 8080,</t>
  </si>
  <si>
    <t xml:space="preserve">  "TargetType": "ip",</t>
  </si>
  <si>
    <t xml:space="preserve">  "HealthCheckProtocol": "HTTP",</t>
  </si>
  <si>
    <t xml:space="preserve">  "HealthCheckPort": "traffic-port",</t>
  </si>
  <si>
    <t xml:space="preserve">  "HealthCheckPath": "/app/health/ready",</t>
  </si>
  <si>
    <t xml:space="preserve">  "HealthCheckIntervalSeconds": 10,</t>
  </si>
  <si>
    <t xml:space="preserve">  "HealthCheckTimeoutSeconds": 5,</t>
  </si>
  <si>
    <t xml:space="preserve">  "HealthyThresholdCount": 2,</t>
  </si>
  <si>
    <t xml:space="preserve">  "UnhealthyThresholdCount": 3,</t>
  </si>
  <si>
    <t xml:space="preserve">  "Matcher": {</t>
  </si>
  <si>
    <t xml:space="preserve">    "HttpCode": "200"</t>
  </si>
  <si>
    <t xml:space="preserve">  }</t>
  </si>
  <si>
    <t>出典：S08 / S10（18_出典と適用範囲の同IDを参照）</t>
  </si>
  <si>
    <t>他パターンへ変更するときの全差分</t>
  </si>
  <si>
    <t>依存・タイムアウト</t>
  </si>
  <si>
    <t>startPeriod変更と追加条件</t>
  </si>
  <si>
    <t>サービスG</t>
  </si>
  <si>
    <t>両アプリのdependsOnとADOTのstartTimeoutを削除</t>
  </si>
  <si>
    <t>ADOT30 / バック210 / フロント210 / CW30。SDKの起動時再試行が必要。</t>
  </si>
  <si>
    <t>バックにstartTimeout=120、フロントのdependsOnをbackend:HEALTHYへ</t>
  </si>
  <si>
    <t>ADOT30 / バック90 / フロント60 / CW30。実際の初回HEALTHYが期限内。</t>
  </si>
  <si>
    <t>ADOT30 / バック100 / フロント210 / CW30。バック初回HEALTHY95秒の仮定。</t>
  </si>
  <si>
    <t>P2と同じ依存。反例として扱い採用しない</t>
  </si>
  <si>
    <t>バック210 / フロント210。実準備200秒のバックでは期限超過。</t>
  </si>
  <si>
    <t>このJSONどおり</t>
  </si>
  <si>
    <t>両アプリはADOT:HEALTHYを待ち、互いには依存しない。</t>
  </si>
  <si>
    <t>フロントのdependsOnをbackend:STARTへ</t>
  </si>
  <si>
    <t>startPeriodはP4と同じ。フロントの再接続が必須。</t>
  </si>
  <si>
    <t>依存はP4と同じ</t>
  </si>
  <si>
    <t>バック300 / フロント270。他は同じ。起動分布を測定して採用。</t>
  </si>
  <si>
    <t>依存はP4と同じ。フロントentrypointに準備待ちラッパー</t>
  </si>
  <si>
    <t>フロントS=300 / I=15 / T=5 / R=6。他はP4と同じ。コンテナ開始順の保証ではない。</t>
  </si>
  <si>
    <t>ADOT設定：既存設定へ統合する最小断片  [yaml]</t>
  </si>
  <si>
    <t># 既存のexportersやprocessorsを維持して統合する。</t>
  </si>
  <si>
    <t># この断片だけでは送信先や完全なpipelineは定義していない。</t>
  </si>
  <si>
    <t>extensions:</t>
  </si>
  <si>
    <t xml:space="preserve">  health_check:</t>
  </si>
  <si>
    <t xml:space="preserve">    endpoint: 127.0.0.1:13133</t>
  </si>
  <si>
    <t xml:space="preserve">    path: /</t>
  </si>
  <si>
    <t>receivers:</t>
  </si>
  <si>
    <t xml:space="preserve">  otlp:</t>
  </si>
  <si>
    <t xml:space="preserve">    protocols:</t>
  </si>
  <si>
    <t xml:space="preserve">      grpc:</t>
  </si>
  <si>
    <t xml:space="preserve">        endpoint: 127.0.0.1:4317</t>
  </si>
  <si>
    <t xml:space="preserve">      http:</t>
  </si>
  <si>
    <t xml:space="preserve">        endpoint: 127.0.0.1:4318</t>
  </si>
  <si>
    <t>service:</t>
  </si>
  <si>
    <t xml:space="preserve">  extensions: [health_check]</t>
  </si>
  <si>
    <t># service.pipelines.traces等に上記otlpと既存のexporterを組み込む。</t>
  </si>
  <si>
    <t>出典：S16 / S17 / S18（18_出典と適用範囲の同IDを参照）</t>
  </si>
  <si>
    <t>ADOT断片の統合方法</t>
  </si>
  <si>
    <t>既存のservice.extensionsへhealth_checkを追加し、認証・file_storage等の他の拡張を消さないようにします。receiverの宣言だけではトレース経路にならないため、既存のtraces pipelineにもotlpを指定します。アプリがhttp/protobufを使うなら4318、gRPCなら4317というようにprotocolと送信先を一致させます。Exporterの種類と認証は利用中の保存先に合わせるため、この資料で架空の本番設定を埋めません。</t>
  </si>
  <si>
    <t>Terraformとコンテナ内の補助実装</t>
  </si>
  <si>
    <t>Terraformのリソースdepends_onはインフラの作成順です。ECSのコンテナ起動順はcontainer_definitions内のdependsOnで設定します。</t>
  </si>
  <si>
    <t>Terraformの設定位置  [hcl]</t>
  </si>
  <si>
    <t># 設定の位置を示す例。既存のprovider・変数・ログ・IAMへ統合する。</t>
  </si>
  <si>
    <t># P4_container_definitions.jsonは本資料のP4のcontainerDefinitions配列。</t>
  </si>
  <si>
    <t>resource "aws_ecs_task_definition" "app" {</t>
  </si>
  <si>
    <t xml:space="preserve">  family                   = "eap-healthcheck-example"</t>
  </si>
  <si>
    <t xml:space="preserve">  requires_compatibilities = ["FARGATE"]</t>
  </si>
  <si>
    <t xml:space="preserve">  network_mode             = "awsvpc"</t>
  </si>
  <si>
    <t xml:space="preserve">  cpu                      = "2048"</t>
  </si>
  <si>
    <t xml:space="preserve">  memory                   = "8192"</t>
  </si>
  <si>
    <t xml:space="preserve">  execution_role_arn       = var.execution_role_arn</t>
  </si>
  <si>
    <t xml:space="preserve">  task_role_arn            = var.task_role_arn</t>
  </si>
  <si>
    <t xml:space="preserve">  container_definitions    = file("${path.module}/P4_container_definitions.json")</t>
  </si>
  <si>
    <t xml:space="preserve">  runtime_platform {</t>
  </si>
  <si>
    <t xml:space="preserve">    operating_system_family = "LINUX"</t>
  </si>
  <si>
    <t xml:space="preserve">    cpu_architecture        = "X86_64"</t>
  </si>
  <si>
    <t>resource "aws_lb_target_group" "frontend" {</t>
  </si>
  <si>
    <t xml:space="preserve">  name        = "eap-frontend-example"</t>
  </si>
  <si>
    <t xml:space="preserve">  vpc_id      = var.vpc_id</t>
  </si>
  <si>
    <t xml:space="preserve">  target_type = "ip"</t>
  </si>
  <si>
    <t xml:space="preserve">  protocol    = "HTTP"</t>
  </si>
  <si>
    <t xml:space="preserve">  port        = 8080</t>
  </si>
  <si>
    <t xml:space="preserve">  health_check {</t>
  </si>
  <si>
    <t xml:space="preserve">    enabled             = true</t>
  </si>
  <si>
    <t xml:space="preserve">    protocol            = "HTTP"</t>
  </si>
  <si>
    <t xml:space="preserve">    port                = "traffic-port"</t>
  </si>
  <si>
    <t xml:space="preserve">    path                = "/app/health/ready"</t>
  </si>
  <si>
    <t xml:space="preserve">    matcher             = "200"</t>
  </si>
  <si>
    <t xml:space="preserve">    interval            = 10</t>
  </si>
  <si>
    <t xml:space="preserve">    timeout             = 5</t>
  </si>
  <si>
    <t xml:space="preserve">    healthy_threshold   = 2</t>
  </si>
  <si>
    <t xml:space="preserve">    unhealthy_threshold = 3</t>
  </si>
  <si>
    <t>resource "aws_ecs_service" "app" {</t>
  </si>
  <si>
    <t xml:space="preserve">  name                               = "eap-healthcheck-example"</t>
  </si>
  <si>
    <t xml:space="preserve">  cluster                            = var.cluster_arn</t>
  </si>
  <si>
    <t xml:space="preserve">  task_definition                    = aws_ecs_task_definition.app.arn</t>
  </si>
  <si>
    <t xml:space="preserve">  launch_type                        = "FARGATE"</t>
  </si>
  <si>
    <t xml:space="preserve">  desired_count                      = 2</t>
  </si>
  <si>
    <t xml:space="preserve">  health_check_grace_period_seconds  = 300</t>
  </si>
  <si>
    <t xml:space="preserve">  deployment_minimum_healthy_percent = 100</t>
  </si>
  <si>
    <t xml:space="preserve">  deployment_maximum_percent         = 200</t>
  </si>
  <si>
    <t xml:space="preserve">  deployment_circuit_breaker {</t>
  </si>
  <si>
    <t xml:space="preserve">    enable   = true</t>
  </si>
  <si>
    <t xml:space="preserve">    rollback = true</t>
  </si>
  <si>
    <t xml:space="preserve">  network_configuration {</t>
  </si>
  <si>
    <t xml:space="preserve">    subnets          = var.private_subnet_ids</t>
  </si>
  <si>
    <t xml:space="preserve">    security_groups  = var.task_security_group_ids</t>
  </si>
  <si>
    <t xml:space="preserve">    assign_public_ip = false</t>
  </si>
  <si>
    <t xml:space="preserve">  load_balancer {</t>
  </si>
  <si>
    <t xml:space="preserve">    target_group_arn = aws_lb_target_group.frontend.arn</t>
  </si>
  <si>
    <t xml:space="preserve">    container_name   = "frontend"</t>
  </si>
  <si>
    <t xml:space="preserve">    container_port   = 8080</t>
  </si>
  <si>
    <t xml:space="preserve">  # ALB listener / ruleで対象TGを関連付ける。</t>
  </si>
  <si>
    <t xml:space="preserve">  # 同時作成する場合は、そのリソースへのdepends_onも既存構成に合わせる。</t>
  </si>
  <si>
    <t>出典：S35 / S36（18_出典と適用範囲の同IDを参照）</t>
  </si>
  <si>
    <t>Terraform例の位置付け</t>
  </si>
  <si>
    <t>この断片には変数宣言・provider版・既存ALBのlistener/rule・ネットワーク・IAM作成を含めていません。したがって単独でapplyする完成モジュールではありません。既存リポジトリの固定provider版へ統合し、fmt / validate / planで差分を確認します。Fargate依存が必要なLinux platformは1.3.0以降とし、採用中のプラットフォームで検証します。</t>
  </si>
  <si>
    <t>出典：S03（18_出典と適用範囲の同IDを参照）</t>
  </si>
  <si>
    <t>CloudWatch Agent用：追加する静的プローブの実装例  [go]</t>
  </si>
  <si>
    <t>// proc-healthcheck: inspect an exact executable path in this container's /proc.</t>
  </si>
  <si>
    <t>package main</t>
  </si>
  <si>
    <t>import (</t>
  </si>
  <si>
    <t xml:space="preserve">    "fmt"</t>
  </si>
  <si>
    <t xml:space="preserve">    "os"</t>
  </si>
  <si>
    <t xml:space="preserve">    "path/filepath"</t>
  </si>
  <si>
    <t xml:space="preserve">    "strconv"</t>
  </si>
  <si>
    <t>)</t>
  </si>
  <si>
    <t>func main() {</t>
  </si>
  <si>
    <t xml:space="preserve">    if len(os.Args) != 2 || !filepath.IsAbs(os.Args[1]) {</t>
  </si>
  <si>
    <t xml:space="preserve">        fmt.Fprintln(os.Stderr, "usage: proc-healthcheck /absolute/executable")</t>
  </si>
  <si>
    <t xml:space="preserve">        os.Exit(2)</t>
  </si>
  <si>
    <t xml:space="preserve">    entries, err := os.ReadDir("/proc")</t>
  </si>
  <si>
    <t xml:space="preserve">    if err != nil {</t>
  </si>
  <si>
    <t xml:space="preserve">        fmt.Fprintln(os.Stderr, "cannot inspect /proc")</t>
  </si>
  <si>
    <t xml:space="preserve">        os.Exit(1)</t>
  </si>
  <si>
    <t xml:space="preserve">    for _, entry := range entries {</t>
  </si>
  <si>
    <t xml:space="preserve">        if !entry.IsDir() {</t>
  </si>
  <si>
    <t xml:space="preserve">            continue</t>
  </si>
  <si>
    <t xml:space="preserve">        if _, err := strconv.Atoi(entry.Name()); err != nil {</t>
  </si>
  <si>
    <t xml:space="preserve">        exe, err := os.Readlink(filepath.Join("/proc", entry.Name(), "exe"))</t>
  </si>
  <si>
    <t xml:space="preserve">        if err == nil &amp;&amp; exe == os.Args[1] {</t>
  </si>
  <si>
    <t xml:space="preserve">            os.Exit(0)</t>
  </si>
  <si>
    <t xml:space="preserve">    fmt.Fprintln(os.Stderr, "expected process not found or not inspectable")</t>
  </si>
  <si>
    <t xml:space="preserve">    os.Exit(1)</t>
  </si>
  <si>
    <t>プローブの権限と失敗</t>
  </si>
  <si>
    <t>読み取り権限がない、Agentの実ファイルパスが違う、プロセスが終了している場合は成功を返しません。プロセスが見つかることしか判定しないため、送信先疎通や設定妥当性の代わりにはなりません。このコードは公式同梱機能ではなく追加実装例で、採用イメージ・UID・アーキテクチャでの検証が必要です。</t>
  </si>
  <si>
    <t>派生イメージを作るためのDockerfile例  [dockerfile]</t>
  </si>
  <si>
    <t># 2つのイメージは承認済みの固定タグまたはdigestで指定する。</t>
  </si>
  <si>
    <t>ARG GO_BUILDER_IMAGE</t>
  </si>
  <si>
    <t>ARG CWAGENT_IMAGE</t>
  </si>
  <si>
    <t>FROM ${GO_BUILDER_IMAGE} AS probe-build</t>
  </si>
  <si>
    <t>ARG TARGETARCH</t>
  </si>
  <si>
    <t>WORKDIR /src</t>
  </si>
  <si>
    <t>COPY proc-healthcheck.go .</t>
  </si>
  <si>
    <t>RUN CGO_ENABLED=0 GOOS=linux GOARCH=${TARGETARCH} \</t>
  </si>
  <si>
    <t xml:space="preserve">    go build -trimpath -o /out/proc-healthcheck proc-healthcheck.go</t>
  </si>
  <si>
    <t>FROM ${CWAGENT_IMAGE}</t>
  </si>
  <si>
    <t>COPY --from=probe-build --chmod=0555 /out/proc-healthcheck /usr/local/bin/proc-healthcheck</t>
  </si>
  <si>
    <t># ベースイメージのENTRYPOINT・CMD・USERを引き継ぐ。</t>
  </si>
  <si>
    <t>P7の起動待ちの設計例</t>
  </si>
  <si>
    <t>フロントのコンテナが開始したら、バックの/app/health/readyを接続1秒・全体2秒のHTTP検査で確認します。失敗時は5秒の間隔に小さなジッターを加えて再確認し、総経過300秒を越えたら理由をstderrへ記録して終了します。成功後はexecで既存のEAP起動コマンドへ引き継ぎます。待機中のSIGTERMを扱い、起動時の秘密をログへ出さないようにします。固定sleep 210秒では準備の早い回を無駄に待ち、遅い回にも対応できません。</t>
  </si>
  <si>
    <t>P7が必要になる理由と限界</t>
  </si>
  <si>
    <t>本当に必要なのが『バックAPIが使えてからフロントのJVM初期化を行う』なら、120秒を超える待ちをこのようなアプリ制御に移せます。ただしコンテナ自体は先に開始しており、ECSの厳密なコンテナ直列起動を満たす代替ではありません。最大待ち300秒とEAP起動150秒が常に合計450秒まで伸びるなら、表のstartPeriod=300 / retries=6の想定を超えるため再設計します。表はバック200秒の仮定に対する値です。</t>
  </si>
  <si>
    <t>稼働中・停止中も同じ構成を点検する</t>
  </si>
  <si>
    <t>起動順を決めたら、起動後の故障と終了順も合わせて評価します。</t>
  </si>
  <si>
    <t>症状からの切り分け</t>
  </si>
  <si>
    <t>見える症状</t>
  </si>
  <si>
    <t>先に確認すること</t>
  </si>
  <si>
    <t>値変更だけで直るか</t>
  </si>
  <si>
    <t>フロントがPENDINGのまま起動しない</t>
  </si>
  <si>
    <t>dependsOnの向き、依存先HEALTHYの有無、startTimeout、循環、stoppedReason</t>
  </si>
  <si>
    <t>バック準備が120秒を超えるならG延長では直らない。</t>
  </si>
  <si>
    <t>コンテナ検査が毎回失敗</t>
  </si>
  <si>
    <t>URL、port-offset、バイナリの有無、CMD/CMD-SHELL、終了コード、認証</t>
  </si>
  <si>
    <t>存在しないcurlや健康URLはstartPeriod延長で直らない。</t>
  </si>
  <si>
    <t>ローカルは成功、ALBはTarget.Timeout</t>
  </si>
  <si>
    <t>フロントがENIから到達可能なアドレスにbindしているか、SG、NACL、ポート</t>
  </si>
  <si>
    <t>Gは到達不能を直さない。</t>
  </si>
  <si>
    <t>ALBでResponseCodeMismatch</t>
  </si>
  <si>
    <t>パス、Hostヘッダー、認証リダイレクト、context root、準備中503</t>
  </si>
  <si>
    <t>200–499を全部成功にして隠さない。</t>
  </si>
  <si>
    <t>ADOT healthyなのにトレースなし</t>
  </si>
  <si>
    <t>SDK送信先・protocol・sampling、receiver/pipeline、IAM、exporter・送信先</t>
  </si>
  <si>
    <t>13133成功だけでは送信経路の検証にならない。</t>
  </si>
  <si>
    <t>CW Agent停止後もアプリは動く</t>
  </si>
  <si>
    <t>essential=false、restartPolicy、送信途絶アラーム</t>
  </si>
  <si>
    <t>意図した可用性分離。必要なら個別再起動を検討。</t>
  </si>
  <si>
    <t>新タスクが繰り返し置換される</t>
  </si>
  <si>
    <t>first HEALTHY、task.startedAt、ALB状態、exitCode、OOM、起動CPU/メモリ</t>
  </si>
  <si>
    <t>原因が起動遅延かプロセス異常かを区別して調整する。</t>
  </si>
  <si>
    <t>全台のreadinessが一斉に失敗</t>
  </si>
  <si>
    <t>共通DB/API障害、プローブ負荷、fail open、再試行の集中</t>
  </si>
  <si>
    <t>全台再起動では復旧しないケースがある。</t>
  </si>
  <si>
    <t>任意のCloudWatch Agent再起動</t>
  </si>
  <si>
    <t>restartPolicy.enabled=true、restartAttemptPeriod=60を例にできます。これは『最低60秒動けたコンテナについて再起動を認める』という条件を含み、起動直後10秒で失敗するコンテナが必ず再起動される設定ではありません。また対象はコンテナの終了であり、プロセスが生きたままhealthCheckが失敗しているだけで自動的に同じコンテナを再起動する仕組みではありません。</t>
  </si>
  <si>
    <t>出典：S21 / S22（18_出典と適用範囲の同IDを参照）</t>
  </si>
  <si>
    <t>任意設定の断片  [json]</t>
  </si>
  <si>
    <t>{"restartPolicy": {"enabled": true, "restartAttemptPeriod": 60}}</t>
  </si>
  <si>
    <t>更新時の例</t>
  </si>
  <si>
    <t>ECSローリング更新でdesiredCount=2、minimumHealthyPercent=100、maximumPercent=200、deploymentCircuitBreaker={enable:true,rollback:true}を検証例にできます。古い正常タスクを維持しつつ新しいタスクの健康を確認します。必要な一時リソース、IP、クォータ、実行費用を見込んでください。ロールバックには戻れる正常なデプロイが必要です。値だけで初回構築や全台障害の配信を保証するものではありません。</t>
  </si>
  <si>
    <t>出典：S23 / S24（18_出典と適用範囲の同IDを参照）</t>
  </si>
  <si>
    <t>健康に数える条件</t>
  </si>
  <si>
    <t>ALBを使い、必須コンテナにもhealthCheckがあるサービスでは、新タスクを正常台数として扱うにはターゲットの正常と必須コンテナの正常を考慮します。プロセスRUNNINGだけを成功と数えないでください。Gが長いと失敗の確定が遅れ、デプロイが長く継続する場合があります。</t>
  </si>
  <si>
    <t>出典：S24（18_出典と適用範囲の同IDを参照）</t>
  </si>
  <si>
    <t>設定更新の違い</t>
  </si>
  <si>
    <t>startPeriodやdependsOnなどタスク定義の変更は新リビジョンを作り、サービスへ反映して新しいタスクで検証します。healthCheckGracePeriodSecondsの更新自体は新規デプロイを開始しないとAPIに記載されています。変更しただけで、既存コンテナの起動時猶予が初期化されると考えないでください。</t>
  </si>
  <si>
    <t>停止とトレースの最後の処理</t>
  </si>
  <si>
    <t>直列依存を付けると停止順は逆向きになり、フロント→バック→ADOTの順序を表現できます。ただし異常終了・OOM・強制停止ではすべてのflushが完了するとは限りません。EAPの終了処理、HTTPのdraining、SDKのshutdown/flush、ADOTのstopTimeoutを試験します。CloudWatch Agentに依存がなければ、最後まで必ず残る順序は指定していません。</t>
  </si>
  <si>
    <t>出典：S03 / S18（18_出典と適用範囲の同IDを参照）</t>
  </si>
  <si>
    <t>実環境へ当てはめる手順</t>
  </si>
  <si>
    <t>この資料作成ではAWSへ接続しておらず、既存サービスへの変更も行っていません。次の確認は利用者の検証環境で行うための手順です。</t>
  </si>
  <si>
    <t>収集したい時刻</t>
  </si>
  <si>
    <t>記録</t>
  </si>
  <si>
    <t>取得場所</t>
  </si>
  <si>
    <t>使い道</t>
  </si>
  <si>
    <t>起動要求 / createdAt / pullStartedAt / pullStoppedAt</t>
  </si>
  <si>
    <t>ECS DescribeTasks、デプロイ記録</t>
  </si>
  <si>
    <t>起動要求からの総時間と、健康猶予の対象時間を混同しない。</t>
  </si>
  <si>
    <t>task.startedAt</t>
  </si>
  <si>
    <t>ECS DescribeTasks</t>
  </si>
  <si>
    <t>サービス猶予の基準時刻を整理する。</t>
  </si>
  <si>
    <t>各コンテナStartedAt</t>
  </si>
  <si>
    <t>タスク内のメタデータV4 /task、アプリログ</t>
  </si>
  <si>
    <t>startPeriodと依存先の待ちの時間を分ける。</t>
  </si>
  <si>
    <t>ADOT初回ready / API listen / EAP deployment完了</t>
  </si>
  <si>
    <t>UTCミリ秒付き起動ログ、専用プローブログ</t>
  </si>
  <si>
    <t>実準備時間A / B / Fを測る。</t>
  </si>
  <si>
    <t>初回コンテナHEALTHY</t>
  </si>
  <si>
    <t>状態変化イベントと時刻付きポーリング</t>
  </si>
  <si>
    <t>検査周期と通知の遅れdA / dB / dFを含めて測る。</t>
  </si>
  <si>
    <t>ターゲットinitial / unhealthy / healthy</t>
  </si>
  <si>
    <t>DescribeTargetHealthを時刻と一緒に保存、ALBヘルスチェックログ等</t>
  </si>
  <si>
    <t>初回成功か異常からの復帰かを分ける。</t>
  </si>
  <si>
    <t>stoppedReason / stopCode / container exitCode・reason</t>
  </si>
  <si>
    <t>停止タスクのDescribeTasks、サービスevents</t>
  </si>
  <si>
    <t>依存タイムアウト、OOM、プロセス終了、ALB異常を分ける。</t>
  </si>
  <si>
    <t>出典：S06 / S08 / S14（18_出典と適用範囲の同IDを参照）</t>
  </si>
  <si>
    <t>Windows PowerShellからの参照コマンド例  [powershell]</t>
  </si>
  <si>
    <t># 例示名を実環境の名前に置き換える。読み取りのみ。</t>
  </si>
  <si>
    <t>aws ecs describe-task-definition --task-definition YOUR_TASK_FAMILY</t>
  </si>
  <si>
    <t>aws ecs describe-services --cluster YOUR_CLUSTER --services YOUR_SERVICE</t>
  </si>
  <si>
    <t>aws ecs describe-tasks --cluster YOUR_CLUSTER --tasks YOUR_TASK_ARN</t>
  </si>
  <si>
    <t>aws elbv2 describe-target-groups --target-group-arns YOUR_TARGET_GROUP_ARN</t>
  </si>
  <si>
    <t>aws elbv2 describe-target-health --target-group-arn YOUR_TARGET_GROUP_ARN</t>
  </si>
  <si>
    <t>aws elbv2 describe-target-group-attributes --target-group-arn YOUR_TARGET_GROUP_ARN</t>
  </si>
  <si>
    <t>タスク内Linuxコンテナからのメタデータ参照例  [sh]</t>
  </si>
  <si>
    <t># curlがある診断用コンテナで実行。ホストのPowerShellコマンドではない。</t>
  </si>
  <si>
    <t>curl --silent --show-error --max-time 3 "${ECS_CONTAINER_METADATA_URI_V4}/task"</t>
  </si>
  <si>
    <t>出典：S14（18_出典と適用範囲の同IDを参照）</t>
  </si>
  <si>
    <t>検証順序</t>
  </si>
  <si>
    <t>最初に健康コマンド単体で200成功、503失敗、接続拒否、応答停止、コマンド不存在を確かめます。次に通常起動、コールド起動、最大同時デプロイ、CPUを圧迫した状態で起動を繰り返します。依存先をわざと遅らせ、100秒付近では成功し130秒超では依存期限の問題が見えることを検証します。起動後はバック停止・ADOT停止・CW Agent停止をそれぞれ分けて試験します。</t>
  </si>
  <si>
    <t>検証ケースと合格条件</t>
  </si>
  <si>
    <t>ケース</t>
  </si>
  <si>
    <t>合格とする観測</t>
  </si>
  <si>
    <t>関連する案</t>
  </si>
  <si>
    <t>startPeriod途中で正常化</t>
  </si>
  <si>
    <t>210を待たずにHEALTHYになり、依存側が開始できる</t>
  </si>
  <si>
    <t>P1 / P2</t>
  </si>
  <si>
    <t>初回成功の後に連続失敗</t>
  </si>
  <si>
    <t>210秒以内でもR回の失敗でUNHEALTHYになる</t>
  </si>
  <si>
    <t>全案</t>
  </si>
  <si>
    <t>バックの健康成功が120秒超</t>
  </si>
  <si>
    <t>Gを600にしても依存待ちに失敗する理由が記録される</t>
  </si>
  <si>
    <t>フロントがバックより先に準備完了</t>
  </si>
  <si>
    <t>ローカルreadyは成功可。ALB readyはバック利用まで503</t>
  </si>
  <si>
    <t>P4 / P5 / P6</t>
  </si>
  <si>
    <t>ALB猶予中</t>
  </si>
  <si>
    <t>ALBから検査が届く。正常化すれば猶予終了前でも配信する</t>
  </si>
  <si>
    <t>全成立案</t>
  </si>
  <si>
    <t>同一タスクのEAPを2つ起動</t>
  </si>
  <si>
    <t>8080/8180、9990/10090等が競合せず、正しい相手を検査する</t>
  </si>
  <si>
    <t>Collector保存先への接続を遮断</t>
  </si>
  <si>
    <t>13133と送信失敗を区別し、キュー・再試行・欠損を観測する</t>
  </si>
  <si>
    <t>CW Agentを終了</t>
  </si>
  <si>
    <t>アプリの継続と監視途絶の検出を確認。任意restartPolicyの条件を確認</t>
  </si>
  <si>
    <t>フロントを停止 / タスクを更新</t>
  </si>
  <si>
    <t>通信のdraining、停止順、SDK / ADOT flushを確認</t>
  </si>
  <si>
    <t>依存を持つ案</t>
  </si>
  <si>
    <t>サービスを0台から起動</t>
  </si>
  <si>
    <t>古い正常タスクがない条件で503 / fail openと復旧時間を確認</t>
  </si>
  <si>
    <t>初期サンプル数と記録</t>
  </si>
  <si>
    <t>まず各主要条件で20〜30回程度の起動を取り、裾があると分かった条件を追加測定する方法が考えられます。この数でP99を精密に確定したとは言えません。CPU・メモリ、イメージdigest、EAP設定、Java Agent、デプロイ数、AZ、DB状態も記録します。重い初期データ処理やDBスキーマ変更があるなら、アプリ起動のたびに行う必要性から見直します。</t>
  </si>
  <si>
    <t>検査履歴の残し方</t>
  </si>
  <si>
    <t>DescribeTasksのhealthStatusだけでは、すべての検査実行時刻とコマンド出力の履歴を取得できません。Fargateでホストのdocker inspectが自由に使えるとも考えないでください。検証用プローブやアプリのreadiness状態変化をUTC時刻付きで記録し、ALBの状態・サービスイベントと突き合わせます。healthCheckコマンドの出力が通常のアプリログへ自動的に出るとは仮定せず、ログの取得方法を事前に確かめます。</t>
  </si>
  <si>
    <t>なぜ複数の仕組みができたのか</t>
  </si>
  <si>
    <t>似た名前が増えた理由は、解決している問題が違うからです。</t>
  </si>
  <si>
    <t>主な歩み</t>
  </si>
  <si>
    <t>時期</t>
  </si>
  <si>
    <t>追加・変化したこと</t>
  </si>
  <si>
    <t>当時解決したかった問題</t>
  </si>
  <si>
    <t>今回との関係</t>
  </si>
  <si>
    <t>2017-12-27</t>
  </si>
  <si>
    <t>ECSにELB health check grace period</t>
  </si>
  <si>
    <t>起動に時間がかかるタスクが、準備できる前に異常として止められる。</t>
  </si>
  <si>
    <t>現在のサービス猶予300秒の系譜。</t>
  </si>
  <si>
    <t>2018-03-08</t>
  </si>
  <si>
    <t>ECSのコンテナhealthCheck / task health管理</t>
  </si>
  <si>
    <t>ロードバランサーだけでは、各コンテナ内部の状態やHTTP以外の確認が難しい。</t>
  </si>
  <si>
    <t>サイドカーを含む内部監視とstartPeriodの役割。</t>
  </si>
  <si>
    <t>2018-03-26</t>
  </si>
  <si>
    <t>Fargate platform 1.1.0でコンテナhealthCheck対応</t>
  </si>
  <si>
    <t>サーバー管理をしないFargateでもコンテナ単位で確認したい。</t>
  </si>
  <si>
    <t>FargateでのhealthCheck利用の前提が整う。</t>
  </si>
  <si>
    <t>2019-03-07</t>
  </si>
  <si>
    <t>ECSの起動・停止依存とコンテナ別タイムアウト</t>
  </si>
  <si>
    <t>記録係を先に起こし、最後に止める。初期化処理の完了を待つ。</t>
  </si>
  <si>
    <t>ADOT→バック→フロントのような構成を表現できる。</t>
  </si>
  <si>
    <t>2019-03-27</t>
  </si>
  <si>
    <t>Fargate 1.3.0で依存などの追加設定を利用可能</t>
  </si>
  <si>
    <t>Fargateにも同じ順序制御を持ち込む。</t>
  </si>
  <si>
    <t>Linux platform 1.3.0以降という要件。</t>
  </si>
  <si>
    <t>2024-08-15</t>
  </si>
  <si>
    <t>ECSのコンテナ別restart policy</t>
  </si>
  <si>
    <t>一時的なコンテナ終了から、タスク全部を置換せず回復したい。</t>
  </si>
  <si>
    <t>CW Agentなどの個別復旧を検討できる。ただし条件がある。</t>
  </si>
  <si>
    <t>2026-10-07 確認</t>
  </si>
  <si>
    <t>現在のAPI・公式資料で役割と値を照合</t>
  </si>
  <si>
    <t>古い記事の用語や、Docker / Kubernetesの設定を混同しない。</t>
  </si>
  <si>
    <t>healthCheckGracePeriodSecondsは現行APIでELB等とコンテナ検査の異常を対象にする。</t>
  </si>
  <si>
    <t>出典：S29 / S30 / S31 / S32 / S33 / S05（18_出典と適用範囲の同IDを参照）</t>
  </si>
  <si>
    <t>1つの待ち時間では足りない理由</t>
  </si>
  <si>
    <t>受付・台所・記録係それぞれの準備が違うので、まず各担当の準備を見ます。さらに記録係の後に台所を始める順序が必要になり、最後に店長が早すぎる閉店判断をしない仕組みが必要になります。startPeriodは各担当の起動中の失敗数、dependsOnは開始順、startTimeoutは待ちの期限、サービス猶予は店長の置換判断、と分けて考えれば矛盾しません。</t>
  </si>
  <si>
    <t>歴史的な名称への注意</t>
  </si>
  <si>
    <t>昔の発表では『ELBヘルスチェックの猶予』と説明されていました。現在の公式APIではコンテナヘルスチェックなども記載されています。古い名称だけでALBにタイマーがあると解釈したり、今もELBの失敗だけが対象だと判断したりしないことが重要です。</t>
  </si>
  <si>
    <t>出典：S05 / S29（18_出典と適用範囲の同IDを参照）</t>
  </si>
  <si>
    <t>設定を決める前の最終確認</t>
  </si>
  <si>
    <t>ここは各章の判断を短く参照するための一覧です。</t>
  </si>
  <si>
    <t>よくある疑問</t>
  </si>
  <si>
    <t>疑問</t>
  </si>
  <si>
    <t>答え</t>
  </si>
  <si>
    <t>startPeriod=210は210秒間チェックしない？</t>
  </si>
  <si>
    <t>いいえ。チェックし、成功すればその時点でHEALTHY。初回成功前の猶予中の失敗を数えない。</t>
  </si>
  <si>
    <t>210+210+300を足す？</t>
  </si>
  <si>
    <t>足しません。startPeriodは実起動時間ではなく、Gの起点も各コンテナ開始とは別。実測のクリティカルパスで計算する。</t>
  </si>
  <si>
    <t>G=300はALBの初回検査を300秒後へずらす？</t>
  </si>
  <si>
    <t>いいえ。ALBは独立して検査。ECS側の健康異常による置換を猶予する。</t>
  </si>
  <si>
    <t>backend.startPeriod=210とstartTimeout=120は同時に指定可能？</t>
  </si>
  <si>
    <t>値の組み合わせ自体は可能。初回HEALTHYが120秒未満なら使える。初回成功が210秒になる設計は間に合わない。</t>
  </si>
  <si>
    <t>frontend.startTimeout=120ならバックを120秒待つ？</t>
  </si>
  <si>
    <t>この依存の待ちに関係するのは待たれるbackendのstartTimeout。待つ側の値だけでは代わりにならない。</t>
  </si>
  <si>
    <t>フロントが200秒で準備完了するのも120秒制約に違反？</t>
  </si>
  <si>
    <t>他コンテナがフロントのHEALTHY等を待っていなければ、その依存期限とは別。サービス猶予・コンテナ健康検査で評価する。</t>
  </si>
  <si>
    <t>STARTならバックのAPIが使える？</t>
  </si>
  <si>
    <t>コンテナ開始しか確認しない。APIがまだ使えない間の再試行・ready判定が必要。</t>
  </si>
  <si>
    <t>ADOT healthyで全トレースを確実に保存できる？</t>
  </si>
  <si>
    <t>できません。受信・SDK・exporter・IAM・保存先・キュー・終了時flushを別に検証する。</t>
  </si>
  <si>
    <t>CW Agentの起動時間も必ず直列に足す？</t>
  </si>
  <si>
    <t>依存なし・非必須なら直列に加算しない。ただしCPU等の競合を含めて各時間を測る。</t>
  </si>
  <si>
    <t>essential=falseなら不健康なCW Agentは再起動する？</t>
  </si>
  <si>
    <t>その指定だけでは再起動を保証しない。終了時restartPolicyと、送信途絶の監視を別に検討する。</t>
  </si>
  <si>
    <t>DockerfileのHEALTHCHECKだけでECSのHEALTHY依存になる？</t>
  </si>
  <si>
    <t>ECSが監視・報告するにはタスク定義のhealthCheckを明示する。</t>
  </si>
  <si>
    <t>ALBのHealthyThresholdCount=2なら新規登録でも必ず2回？</t>
  </si>
  <si>
    <t>初回正常化は成功1回。いったん異常になってからの復帰は設定回数が必要。</t>
  </si>
  <si>
    <t>フロントとバックを別コンテナにすれば同じ8080でもよい？</t>
  </si>
  <si>
    <t>同じFargateタスクの共有ネットワークでは衝突する。HTTPと管理を含めて分離する。</t>
  </si>
  <si>
    <t>EAPだから/actuator/healthを使える？</t>
  </si>
  <si>
    <t>それはEAPが一律に提供するURLではない。アプリの実装・拡張・管理エンドポイントを確認する。</t>
  </si>
  <si>
    <t>Gを延ばせばOOMや必須コンテナ終了も待ってくれる？</t>
  </si>
  <si>
    <t>そのような保護ではない。メモリ・終了コード・起動設定の原因を修正する。</t>
  </si>
  <si>
    <t>Terraformのdepends_onにコンテナ名を並べればよい？</t>
  </si>
  <si>
    <t>Terraformのリソース依存とECS JSONのdependsOnは別。container_definitions内へ正しいJSON構造を入れる。</t>
  </si>
  <si>
    <t>最終的にどの案？</t>
  </si>
  <si>
    <t>未計測ならP4を検証。バックの初回HEALTHYが余裕を持って120秒未満なら希望のP1 / P2を選べる。</t>
  </si>
  <si>
    <t>この資料で未確定のこと</t>
  </si>
  <si>
    <t>実際の起動分布、採用イメージの中身、プローブURLの実装、EAPのプロファイル、既存ALB設定、タスクCPU/メモリ、Java AgentとCollectorの版、アプリの接続リトライは実機未確認です。したがってP4=300秒やP2=300秒を本番で必ず成立する保証値とはしていません。Excelの値を実測で置き換え、各依存の期限とサービス猶予の両方を検証することが完了条件です。</t>
  </si>
  <si>
    <t>出典・確認範囲</t>
  </si>
  <si>
    <t>確認日2026-10-07。公開一次資料の現行記述を確認しました。main / latestは将来変更されるため、導入時は採用版を固定して照合します。</t>
  </si>
  <si>
    <t>一次情報一覧</t>
  </si>
  <si>
    <t>ID</t>
  </si>
  <si>
    <t>資料名</t>
  </si>
  <si>
    <t>確認した事項</t>
  </si>
  <si>
    <t>URL</t>
  </si>
  <si>
    <t>S01</t>
  </si>
  <si>
    <t>AWS ECS HealthCheck API</t>
  </si>
  <si>
    <t>startPeriod・interval・timeout・retriesの範囲、早期成功、終了コード</t>
  </si>
  <si>
    <t>https://docs.aws.amazon.com/AmazonECS/latest/APIReference/API_HealthCheck.html</t>
  </si>
  <si>
    <t>S02</t>
  </si>
  <si>
    <t>AWS ECS コンテナヘルスチェック</t>
  </si>
  <si>
    <t>essentialとタスク健康状態、イメージ内コマンドの要件</t>
  </si>
  <si>
    <t>https://docs.aws.amazon.com/AmazonECS/latest/developerguide/healthcheck.html</t>
  </si>
  <si>
    <t>S03</t>
  </si>
  <si>
    <t>AWS ECS ContainerDefinition API</t>
  </si>
  <si>
    <t>startTimeoutの指定先、Fargate 2–120秒、essential、stopTimeout</t>
  </si>
  <si>
    <t>https://docs.aws.amazon.com/AmazonECS/latest/APIReference/API_ContainerDefinition.html</t>
  </si>
  <si>
    <t>S04</t>
  </si>
  <si>
    <t>AWS ECS ContainerDependency API</t>
  </si>
  <si>
    <t>START / HEALTHY / COMPLETE / SUCCESS、起動時のみの判定</t>
  </si>
  <si>
    <t>https://docs.aws.amazon.com/AmazonECS/latest/APIReference/API_ContainerDependency.html</t>
  </si>
  <si>
    <t>S05</t>
  </si>
  <si>
    <t>AWS ECS UpdateService API</t>
  </si>
  <si>
    <t>サービス猶予の意味、0–2147483647秒、更新時の挙動・例外</t>
  </si>
  <si>
    <t>https://docs.aws.amazon.com/AmazonECS/latest/APIReference/API_UpdateService.html</t>
  </si>
  <si>
    <t>S06</t>
  </si>
  <si>
    <t>AWS ECS Task API</t>
  </si>
  <si>
    <t>task.startedAtはRUNNINGへの遷移時刻</t>
  </si>
  <si>
    <t>https://docs.aws.amazon.com/AmazonECS/latest/APIReference/API_Task.html</t>
  </si>
  <si>
    <t>S07</t>
  </si>
  <si>
    <t>AWS ECS タスクのライフサイクル</t>
  </si>
  <si>
    <t>PROVISIONING / PENDING / ACTIVATING / RUNNING</t>
  </si>
  <si>
    <t>https://docs.aws.amazon.com/AmazonECS/latest/developerguide/task-lifecycle-explanation.html</t>
  </si>
  <si>
    <t>S08</t>
  </si>
  <si>
    <t>AWS ALB ターゲットのヘルスチェック</t>
  </si>
  <si>
    <t>ALBの検査・各設定範囲・HTTP成功コード・状態</t>
  </si>
  <si>
    <t>https://docs.aws.amazon.com/elasticloadbalancing/latest/application/target-group-health-checks.html</t>
  </si>
  <si>
    <t>S09</t>
  </si>
  <si>
    <t>AWS ECS ロードバランサーヘルスチェックの最適化</t>
  </si>
  <si>
    <t>初回登録は成功1回、異常からの復帰はHealthyThresholdCount</t>
  </si>
  <si>
    <t>https://docs.aws.amazon.com/AmazonECS/latest/developerguide/load-balancer-healthcheck.html</t>
  </si>
  <si>
    <t>S10</t>
  </si>
  <si>
    <t>AWS ELB CreateTargetGroup API</t>
  </si>
  <si>
    <t>ALBターゲットグループのAPI定義・IPターゲット</t>
  </si>
  <si>
    <t>https://docs.aws.amazon.com/elasticloadbalancing/latest/APIReference/API_CreateTargetGroup.html</t>
  </si>
  <si>
    <t>S11</t>
  </si>
  <si>
    <t>AWS ALB ターゲットグループ属性</t>
  </si>
  <si>
    <t>slow start・登録解除遅延・fail open</t>
  </si>
  <si>
    <t>https://docs.aws.amazon.com/elasticloadbalancing/latest/application/edit-target-group-attributes.html</t>
  </si>
  <si>
    <t>S12</t>
  </si>
  <si>
    <t>AWS Fargate タスク定義パラメータ</t>
  </si>
  <si>
    <t>Fargate制約・コンテナ依存・タイムアウト</t>
  </si>
  <si>
    <t>https://docs.aws.amazon.com/AmazonECS/latest/developerguide/task_definition_parameters.html</t>
  </si>
  <si>
    <t>S13</t>
  </si>
  <si>
    <t>AWS Fargate タスクネットワーク</t>
  </si>
  <si>
    <t>同一タスクのlocalhost通信・ENI・target type ip</t>
  </si>
  <si>
    <t>https://docs.aws.amazon.com/AmazonECS/latest/developerguide/fargate-task-networking.html</t>
  </si>
  <si>
    <t>S14</t>
  </si>
  <si>
    <t>AWS ECS タスクメタデータV4</t>
  </si>
  <si>
    <t>各コンテナのStartedAtを取得する方法</t>
  </si>
  <si>
    <t>https://docs.aws.amazon.com/AmazonECS/latest/developerguide/task-metadata-endpoint-v4-response.html</t>
  </si>
  <si>
    <t>S15</t>
  </si>
  <si>
    <t>ADOT 公式Dockerfile</t>
  </si>
  <si>
    <t>scratchベース・/healthcheck同梱の確認</t>
  </si>
  <si>
    <t>https://github.com/aws-observability/aws-otel-collector/blob/main/cmd/awscollector/Dockerfile</t>
  </si>
  <si>
    <t>S16</t>
  </si>
  <si>
    <t>ADOT 公式healthcheck実装</t>
  </si>
  <si>
    <t>127.0.0.1:13133/へのHTTP検査、200判定、-port</t>
  </si>
  <si>
    <t>https://github.com/aws-observability/aws-otel-collector/blob/main/cmd/healthcheck/main.go</t>
  </si>
  <si>
    <t>S17</t>
  </si>
  <si>
    <t>OpenTelemetry Health Check Extension</t>
  </si>
  <si>
    <t>health_checkの有効化・既定エンドポイント・パイプライン検査の制約</t>
  </si>
  <si>
    <t>https://github.com/open-telemetry/opentelemetry-collector-contrib/blob/main/extension/healthcheckextension/README.md</t>
  </si>
  <si>
    <t>S18</t>
  </si>
  <si>
    <t>OpenTelemetry Collector resiliency</t>
  </si>
  <si>
    <t>送信キュー・再試行・永続化・データ欠損条件</t>
  </si>
  <si>
    <t>https://opentelemetry.io/docs/collector/resiliency/</t>
  </si>
  <si>
    <t>S19</t>
  </si>
  <si>
    <t>CloudWatch Agent 公式Dockerfile</t>
  </si>
  <si>
    <t>scratchベース・シェルとpgrepを当然視できない</t>
  </si>
  <si>
    <t>https://github.com/aws/amazon-cloudwatch-agent/blob/main/amazon-cloudwatch-container-insights/cloudwatch-agent-dockerfile/Dockerfile</t>
  </si>
  <si>
    <t>S20</t>
  </si>
  <si>
    <t>AWS CloudWatch Application Signals ECS sidecar</t>
  </si>
  <si>
    <t>CloudWatch Agentの用途別構成、4316の送信先例</t>
  </si>
  <si>
    <t>https://docs.aws.amazon.com/AmazonCloudWatch/latest/monitoring/CloudWatch-Application-Signals-ECS-Sidecar.html</t>
  </si>
  <si>
    <t>S21</t>
  </si>
  <si>
    <t>AWS ECS コンテナ再起動ポリシー</t>
  </si>
  <si>
    <t>essential / non-essentialの再起動、既定は無効</t>
  </si>
  <si>
    <t>https://docs.aws.amazon.com/AmazonECS/latest/developerguide/container-restart-policy.html</t>
  </si>
  <si>
    <t>S22</t>
  </si>
  <si>
    <t>AWS ECS ContainerRestartPolicy API</t>
  </si>
  <si>
    <t>restartAttemptPeriod 60–1800秒・既定300秒</t>
  </si>
  <si>
    <t>https://docs.aws.amazon.com/AmazonECS/latest/APIReference/API_ContainerRestartPolicy.html</t>
  </si>
  <si>
    <t>S23</t>
  </si>
  <si>
    <t>AWS ECS デプロイサーキットブレーカー</t>
  </si>
  <si>
    <t>起動失敗と健康状態によるデプロイ失敗検出</t>
  </si>
  <si>
    <t>https://docs.aws.amazon.com/AmazonECS/latest/developerguide/deployment-circuit-breaker.html</t>
  </si>
  <si>
    <t>S24</t>
  </si>
  <si>
    <t>AWS ECS サービス定義パラメータ</t>
  </si>
  <si>
    <t>健康なタスクの数え方・minimumHealthyPercent / maximumPercent</t>
  </si>
  <si>
    <t>https://docs.aws.amazon.com/AmazonECS/latest/developerguide/service_definition_parameters.html</t>
  </si>
  <si>
    <t>S25</t>
  </si>
  <si>
    <t>Red Hat EAP 8.1 ソケットバインディング</t>
  </si>
  <si>
    <t>port-offsetとHTTP / 管理ポートの分離</t>
  </si>
  <si>
    <t>https://docs.redhat.com/ja/documentation/red_hat_jboss_enterprise_application_platform/8.1/html/configuration_guide/assembly-about-socket-bindings_default</t>
  </si>
  <si>
    <t>S26</t>
  </si>
  <si>
    <t>Red Hat EAP 8.1 / XP 6.0 MicroProfile Health</t>
  </si>
  <si>
    <t>SmallRye Health・standalone・管理HTTP・readiness</t>
  </si>
  <si>
    <t>https://docs.redhat.com/en/documentation/red_hat_jboss_enterprise_application_platform/8.1/html-single/using_jboss_eap_xp_6.0/using_jboss_eap_xp_6.0</t>
  </si>
  <si>
    <t>S27</t>
  </si>
  <si>
    <t>Red Hat EAP 8.1 OpenShift image health</t>
  </si>
  <si>
    <t>サーバー状態・ブートエラー・デプロイ状態と健康判定</t>
  </si>
  <si>
    <t>https://docs.redhat.com/en/documentation/red_hat_jboss_enterprise_application_platform/8.1/html/using_jboss_eap_on_openshift_container_platform/assembly_reference-information-for-openshift-container-platform_default</t>
  </si>
  <si>
    <t>S28</t>
  </si>
  <si>
    <t>Red Hat EAP 8.1 サポート構成</t>
  </si>
  <si>
    <t>OpenJDK 21 / RHEL 9のイメージ構成。利用環境の認定とは区別</t>
  </si>
  <si>
    <t>https://docs.redhat.com/en/documentation/red_hat_jboss_enterprise_application_platform/8.1/html/release_notes_for_red_hat_jboss_enterprise_application_platform_8.1/supported-configurations-rn_assembly-release-notes</t>
  </si>
  <si>
    <t>S29</t>
  </si>
  <si>
    <t>AWS 2017年 ELB health check grace period</t>
  </si>
  <si>
    <t>2017-12-27、起動途中の早すぎる停止を抑える背景</t>
  </si>
  <si>
    <t>https://aws.amazon.com/jp/about-aws/whats-new/2017/12/amazon-ecs-adds-elb-health-check-grace-period/</t>
  </si>
  <si>
    <t>S30</t>
  </si>
  <si>
    <t>AWS 2018年 container health checks</t>
  </si>
  <si>
    <t>2018-03-08、コンテナ内部の健康監視を追加</t>
  </si>
  <si>
    <t>https://aws.amazon.com/pt/about-aws/whats-new/2018/03/amazon-ecs-supports-container-health-checks-and-task-health-mana/</t>
  </si>
  <si>
    <t>S31</t>
  </si>
  <si>
    <t>AWS Fargate platform 1.1.0</t>
  </si>
  <si>
    <t>2018-03-26、Fargateでコンテナヘルスチェック対応</t>
  </si>
  <si>
    <t>https://aws.amazon.com/about-aws/whats-new/2018/03/aws-fargate-platform-version-1-1/</t>
  </si>
  <si>
    <t>S32</t>
  </si>
  <si>
    <t>AWS 2019年 enhanced container dependency</t>
  </si>
  <si>
    <t>2019-03-07、テレメトリサイドカー・初期化コンテナの順序制御</t>
  </si>
  <si>
    <t>https://aws.amazon.com/about-aws/whats-new/2019/03/amazon-ecs-introduces-enhanced-container-dependency-management/</t>
  </si>
  <si>
    <t>S33</t>
  </si>
  <si>
    <t>AWS ECS ドキュメント履歴</t>
  </si>
  <si>
    <t>2019-03-27 Fargate依存制御、2024-08-15 restart policy</t>
  </si>
  <si>
    <t>https://docs.aws.amazon.com/AmazonECS/latest/developerguide/document_history.html</t>
  </si>
  <si>
    <t>S34</t>
  </si>
  <si>
    <t>Dockerfile HEALTHCHECK reference</t>
  </si>
  <si>
    <t>start-periodとstart-interval、DockerとECS APIの違い</t>
  </si>
  <si>
    <t>https://docs.docker.com/reference/dockerfile/#healthcheck</t>
  </si>
  <si>
    <t>S35</t>
  </si>
  <si>
    <t>HashiCorp AWS ECS service resource</t>
  </si>
  <si>
    <t>health_check_grace_period_secondsなどTerraform名</t>
  </si>
  <si>
    <t>https://github.com/hashicorp/terraform-provider-aws/blob/main/website/docs/r/ecs_service.html.markdown</t>
  </si>
  <si>
    <t>S36</t>
  </si>
  <si>
    <t>HashiCorp AWS LB target group resource</t>
  </si>
  <si>
    <t>health_checkブロック・閾値・属性</t>
  </si>
  <si>
    <t>https://github.com/hashicorp/terraform-provider-aws/blob/main/website/docs/r/lb_target_group.html.markdown</t>
  </si>
  <si>
    <t>S37</t>
  </si>
  <si>
    <t>AWS ECS Agent dependency graph（参考実装）</t>
  </si>
  <si>
    <t>依存先StartedAtとstartTimeoutの関係。Fargate内部実装の保証ではない</t>
  </si>
  <si>
    <t>https://github.com/aws/amazon-ecs-agent/blob/master/agent/engine/dependencygraph/graph.go</t>
  </si>
  <si>
    <t>S38</t>
  </si>
  <si>
    <t>AWS ELB TargetGroupAttribute API</t>
  </si>
  <si>
    <t>slow start 30–900秒、登録解除遅延0–3600秒、ルーティング閾値</t>
  </si>
  <si>
    <t>https://docs.aws.amazon.com/elasticloadbalancing/latest/APIReference/API_TargetGroupAttribute.html</t>
  </si>
  <si>
    <t>S39</t>
  </si>
  <si>
    <t>AWS CloudFormation ECS ContainerDefinition</t>
  </si>
  <si>
    <t>CloudFormationのプロパティ名とコンテナ依存の位置</t>
  </si>
  <si>
    <t>https://docs.aws.amazon.com/AWSCloudFormation/latest/TemplateReference/aws-properties-ecs-taskdefinition-containerdefinition.html</t>
  </si>
  <si>
    <t>公式仕様と設計例の区別</t>
  </si>
  <si>
    <t>許容範囲・パラメータの意味・発表日は出典を伴う仕様または事実です。A=20秒、B=200秒、G=300秒などの組み合わせ、マージン、提案URL、プローブ、資源サイズ、P0〜P8の選び方は本資料の設計例です。AWSやRed Hatがこのアプリに推奨した値・動作を実測した値ではありません。</t>
  </si>
  <si>
    <t>基盤ごとの差</t>
  </si>
  <si>
    <t>Fargate Linuxを主対象にしています。EC2はAgentの版・設定も利用者が管理し、ECS_CONTAINER_START_TIMEOUTはタスク定義のstartTimeoutと独立した設定です。EC2やECS Managed Instancesに別の上限・既定値がある資料を見ても、Fargateの上限120秒を置き換える根拠にはしません。Fargate Windows、Classic Load Balancer、Kubernetesの仕様をこのまま適用しないでください。</t>
  </si>
  <si>
    <t>調査上の限界</t>
  </si>
  <si>
    <t>実AWSアカウント・既存タスク定義・アプリのソース・コンテナ実体を確認していません。JBoss EAPのRed Hatサポート構成の説明は、カスタムUBIイメージをFargateで動かす構成全体の認定・サポート可否を証明するものではありません。本資料は起動・健康判定の設計に対象を絞っています。</t>
  </si>
  <si>
    <t>出典：S28（18_出典と適用範囲の同IDを参照）</t>
  </si>
  <si>
    <t>成果物の検証と未実施の検証</t>
  </si>
  <si>
    <t>項目</t>
  </si>
  <si>
    <t>結果</t>
  </si>
  <si>
    <t>範囲・理由</t>
  </si>
  <si>
    <t>XLSX構造・文字・書式</t>
  </si>
  <si>
    <t>検証済み</t>
  </si>
  <si>
    <t>21シート。全ての文字入りセルをMeiryo UIで統一。色はグレースケール。改行・折返し・行高・列幅・固定枠・印刷範囲を設定。</t>
  </si>
  <si>
    <t>計算表</t>
  </si>
  <si>
    <t>14計算セルの保存値と数式を照合。8パターンと120秒境界・猶予不足など4ケースを独立した式評価で確認。</t>
  </si>
  <si>
    <t>JSONの構文と設定値</t>
  </si>
  <si>
    <t>9つの内部テンプレートとMarkdown内7つのJSONブロックを解析。健康検査の値域・依存先・循環の有無・essentialを確認。AWS登録の成功を示すものではない。</t>
  </si>
  <si>
    <t>Terraformの書式</t>
  </si>
  <si>
    <t>terraform fmt -check 成功</t>
  </si>
  <si>
    <t>説明用断片の書式を確認。fmt -diffはdiffコマンドがないため使わず、Pythonで変更差分を確認した。</t>
  </si>
  <si>
    <t>空白・差分</t>
  </si>
  <si>
    <t>空白エラーなし</t>
  </si>
  <si>
    <t>作業フォルダーはGitリポジトリではないため通常のgit diff --checkは利用不可。空の基準フォルダーに対しgit diff --no-index --checkで確認。no-indexの差分ありは終了コード1となる。</t>
  </si>
  <si>
    <t>表示の検証</t>
  </si>
  <si>
    <t>セル情報からのプレビューで確認</t>
  </si>
  <si>
    <t>6つの代表範囲をローカル描画して確認。Excel本体のCOM起動はサーバー実行エラーで利用できず、Excelネイティブの表示・印刷確認は未実施。</t>
  </si>
  <si>
    <t>出典URL</t>
  </si>
  <si>
    <t>39件の応答確認</t>
  </si>
  <si>
    <t>Red Hatの4件はHEADが403だったためGETで再確認して200。他はHEADで応答を確認。各出典の内容確認とは分けて記録。</t>
  </si>
  <si>
    <t>AWS実環境試験</t>
  </si>
  <si>
    <t>未実施</t>
  </si>
  <si>
    <t>AWSアカウント・実タスク・アプリのイメージは未提示。起動時間、ALB配信、トレース受信、停止・再起動動作は実機で確認が必要。</t>
  </si>
  <si>
    <t>terraform validate / plan</t>
  </si>
  <si>
    <t>既存provider版・変数・ネットワーク・IAMが未提示の説明用断片。実リポジトリへ統合後に実施する。</t>
  </si>
  <si>
    <t>Goプローブのビルド・実コンテナ試験</t>
  </si>
  <si>
    <t>Goツールチェーンと採用イメージが未提示。ソース例を静的に確認。Linux向けビルド、UIDとプロセスパスの試験は導入側で実施する。</t>
  </si>
</sst>
</file>

<file path=xl/styles.xml><?xml version="1.0" encoding="utf-8"?>
<styleSheet xmlns="http://schemas.openxmlformats.org/spreadsheetml/2006/main">
  <numFmts count="1">
    <numFmt numFmtId="164" formatCode="0.0;[Black]-0.0;0"/>
  </numFmts>
  <fonts count="13">
    <font>
      <sz val="11"/>
      <color theme="1"/>
      <name val="Meiryo UI"/>
      <family val="2"/>
    </font>
    <font>
      <b/>
      <sz val="21"/>
      <color rgb="FFFFFFFF"/>
      <name val="Meiryo UI"/>
      <family val="2"/>
    </font>
    <font>
      <sz val="10"/>
      <color rgb="FF555555"/>
      <name val="Meiryo UI"/>
      <family val="2"/>
    </font>
    <font>
      <u/>
      <sz val="10"/>
      <color rgb="FF333333"/>
      <name val="Meiryo UI"/>
      <family val="2"/>
    </font>
    <font>
      <b/>
      <sz val="12"/>
      <color rgb="FFFFFFFF"/>
      <name val="Meiryo UI"/>
      <family val="2"/>
    </font>
    <font>
      <sz val="11"/>
      <color rgb="FF222222"/>
      <name val="Meiryo UI"/>
      <family val="2"/>
    </font>
    <font>
      <b/>
      <sz val="11"/>
      <color rgb="FF222222"/>
      <name val="Meiryo UI"/>
      <family val="2"/>
    </font>
    <font>
      <b/>
      <sz val="11"/>
      <color rgb="FFFFFFFF"/>
      <name val="Meiryo UI"/>
      <family val="2"/>
    </font>
    <font>
      <sz val="9"/>
      <color rgb="FF555555"/>
      <name val="Meiryo UI"/>
      <family val="2"/>
    </font>
    <font>
      <sz val="10"/>
      <color rgb="FF202020"/>
      <name val="Meiryo UI"/>
      <family val="2"/>
    </font>
    <font>
      <b/>
      <sz val="9"/>
      <color rgb="FFFFFFFF"/>
      <name val="Meiryo UI"/>
      <family val="2"/>
    </font>
    <font>
      <sz val="11"/>
      <color rgb="FF111111"/>
      <name val="Meiryo UI"/>
      <family val="2"/>
    </font>
    <font>
      <b/>
      <sz val="11"/>
      <color rgb="FF111111"/>
      <name val="Meiryo UI"/>
      <family val="2"/>
    </font>
  </fonts>
  <fills count="14">
    <fill>
      <patternFill patternType="none"/>
    </fill>
    <fill>
      <patternFill patternType="gray125"/>
    </fill>
    <fill>
      <patternFill patternType="solid">
        <fgColor rgb="FF242424"/>
        <bgColor indexed="64"/>
      </patternFill>
    </fill>
    <fill>
      <patternFill patternType="solid">
        <fgColor rgb="FF555555"/>
        <bgColor indexed="64"/>
      </patternFill>
    </fill>
    <fill>
      <patternFill patternType="solid">
        <fgColor rgb="FFFFFFFF"/>
        <bgColor indexed="64"/>
      </patternFill>
    </fill>
    <fill>
      <patternFill patternType="solid">
        <fgColor rgb="FFE6E6E6"/>
        <bgColor indexed="64"/>
      </patternFill>
    </fill>
    <fill>
      <patternFill patternType="solid">
        <fgColor rgb="FF363636"/>
        <bgColor indexed="64"/>
      </patternFill>
    </fill>
    <fill>
      <patternFill patternType="solid">
        <fgColor rgb="FFF1F1F1"/>
        <bgColor indexed="64"/>
      </patternFill>
    </fill>
    <fill>
      <patternFill patternType="solid">
        <fgColor rgb="FFF2F2F2"/>
        <bgColor indexed="64"/>
      </patternFill>
    </fill>
    <fill>
      <patternFill patternType="solid">
        <fgColor rgb="FF777777"/>
        <bgColor indexed="64"/>
      </patternFill>
    </fill>
    <fill>
      <patternFill patternType="solid">
        <fgColor rgb="FF333333"/>
        <bgColor indexed="64"/>
      </patternFill>
    </fill>
    <fill>
      <patternFill patternType="solid">
        <fgColor rgb="FFFAFAFA"/>
        <bgColor indexed="64"/>
      </patternFill>
    </fill>
    <fill>
      <patternFill patternType="solid">
        <fgColor rgb="FFB6B6B6"/>
        <bgColor indexed="64"/>
      </patternFill>
    </fill>
    <fill>
      <patternFill patternType="solid">
        <fgColor rgb="FFE3E3E3"/>
        <bgColor indexed="64"/>
      </patternFill>
    </fill>
  </fills>
  <borders count="7">
    <border>
      <left/>
      <right/>
      <top/>
      <bottom/>
      <diagonal/>
    </border>
    <border>
      <left style="thin">
        <color rgb="FFD5D5D5"/>
      </left>
      <right style="thin">
        <color rgb="FFD5D5D5"/>
      </right>
      <top style="thin">
        <color rgb="FFD5D5D5"/>
      </top>
      <bottom style="thin">
        <color rgb="FFD5D5D5"/>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E0E0E0"/>
      </left>
      <right style="thin">
        <color rgb="FFE0E0E0"/>
      </right>
      <top style="thin">
        <color rgb="FFE0E0E0"/>
      </top>
      <bottom style="thin">
        <color rgb="FFE0E0E0"/>
      </bottom>
      <diagonal/>
    </border>
    <border>
      <left style="medium">
        <color rgb="FF777777"/>
      </left>
      <right style="medium">
        <color rgb="FF777777"/>
      </right>
      <top style="medium">
        <color rgb="FF777777"/>
      </top>
      <bottom style="medium">
        <color rgb="FF777777"/>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1">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3" borderId="0" xfId="0" applyFont="1" applyFill="1" applyAlignment="1">
      <alignment vertical="center" wrapText="1"/>
    </xf>
    <xf numFmtId="0" fontId="5" fillId="4" borderId="1" xfId="0" applyFont="1" applyFill="1" applyBorder="1" applyAlignment="1">
      <alignment vertical="top" wrapText="1"/>
    </xf>
    <xf numFmtId="0" fontId="6" fillId="5" borderId="2" xfId="0" applyFont="1" applyFill="1" applyBorder="1" applyAlignment="1">
      <alignment vertical="top" wrapText="1"/>
    </xf>
    <xf numFmtId="0" fontId="7" fillId="6" borderId="3" xfId="0" applyFont="1" applyFill="1" applyBorder="1" applyAlignment="1">
      <alignment vertical="center" wrapText="1"/>
    </xf>
    <xf numFmtId="0" fontId="5" fillId="7" borderId="1" xfId="0" applyFont="1" applyFill="1" applyBorder="1" applyAlignment="1">
      <alignment vertical="top" wrapText="1"/>
    </xf>
    <xf numFmtId="0" fontId="8" fillId="0" borderId="0" xfId="0" applyFont="1" applyAlignment="1">
      <alignment vertical="center" wrapText="1"/>
    </xf>
    <xf numFmtId="0" fontId="9" fillId="8" borderId="0" xfId="0" applyFont="1" applyFill="1" applyAlignment="1">
      <alignment vertical="top" wrapText="1"/>
    </xf>
    <xf numFmtId="1" fontId="5" fillId="4" borderId="1" xfId="0" applyNumberFormat="1" applyFont="1" applyFill="1" applyBorder="1" applyAlignment="1">
      <alignment horizontal="center" vertical="center" wrapText="1"/>
    </xf>
    <xf numFmtId="1" fontId="5" fillId="7" borderId="1" xfId="0" applyNumberFormat="1" applyFont="1" applyFill="1" applyBorder="1" applyAlignment="1">
      <alignment horizontal="center" vertical="center" wrapText="1"/>
    </xf>
    <xf numFmtId="0" fontId="10" fillId="6" borderId="3" xfId="0" applyFont="1" applyFill="1" applyBorder="1" applyAlignment="1">
      <alignment horizontal="center" vertical="center" wrapText="1"/>
    </xf>
    <xf numFmtId="0" fontId="0" fillId="9" borderId="4" xfId="0" applyFill="1" applyBorder="1"/>
    <xf numFmtId="0" fontId="0" fillId="10" borderId="4" xfId="0" applyFill="1" applyBorder="1"/>
    <xf numFmtId="0" fontId="0" fillId="5" borderId="4" xfId="0" applyFill="1" applyBorder="1"/>
    <xf numFmtId="0" fontId="0" fillId="11" borderId="4" xfId="0" applyFill="1" applyBorder="1"/>
    <xf numFmtId="0" fontId="0" fillId="12" borderId="4" xfId="0" applyFill="1" applyBorder="1"/>
    <xf numFmtId="164" fontId="11" fillId="4" borderId="5" xfId="0" applyNumberFormat="1" applyFont="1" applyFill="1" applyBorder="1" applyAlignment="1">
      <alignment vertical="center" wrapText="1"/>
    </xf>
    <xf numFmtId="164" fontId="12" fillId="13" borderId="6" xfId="0" applyNumberFormat="1"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hyperlink" Target="https://docs.aws.amazon.com/AmazonECS/latest/APIReference/API_HealthCheck.html" TargetMode="External"/><Relationship Id="rId2" Type="http://schemas.openxmlformats.org/officeDocument/2006/relationships/hyperlink" Target="https://docs.aws.amazon.com/AmazonECS/latest/developerguide/healthcheck.html" TargetMode="External"/><Relationship Id="rId3" Type="http://schemas.openxmlformats.org/officeDocument/2006/relationships/hyperlink" Target="https://docs.aws.amazon.com/AmazonECS/latest/APIReference/API_ContainerDefinition.html" TargetMode="External"/><Relationship Id="rId4" Type="http://schemas.openxmlformats.org/officeDocument/2006/relationships/hyperlink" Target="https://docs.aws.amazon.com/AmazonECS/latest/APIReference/API_ContainerDependency.html" TargetMode="External"/><Relationship Id="rId5" Type="http://schemas.openxmlformats.org/officeDocument/2006/relationships/hyperlink" Target="https://docs.aws.amazon.com/AmazonECS/latest/APIReference/API_UpdateService.html" TargetMode="External"/><Relationship Id="rId6" Type="http://schemas.openxmlformats.org/officeDocument/2006/relationships/hyperlink" Target="https://docs.aws.amazon.com/AmazonECS/latest/APIReference/API_Task.html" TargetMode="External"/><Relationship Id="rId7" Type="http://schemas.openxmlformats.org/officeDocument/2006/relationships/hyperlink" Target="https://docs.aws.amazon.com/AmazonECS/latest/developerguide/task-lifecycle-explanation.html" TargetMode="External"/><Relationship Id="rId8" Type="http://schemas.openxmlformats.org/officeDocument/2006/relationships/hyperlink" Target="https://docs.aws.amazon.com/elasticloadbalancing/latest/application/target-group-health-checks.html" TargetMode="External"/><Relationship Id="rId9" Type="http://schemas.openxmlformats.org/officeDocument/2006/relationships/hyperlink" Target="https://docs.aws.amazon.com/AmazonECS/latest/developerguide/load-balancer-healthcheck.html" TargetMode="External"/><Relationship Id="rId10" Type="http://schemas.openxmlformats.org/officeDocument/2006/relationships/hyperlink" Target="https://docs.aws.amazon.com/elasticloadbalancing/latest/APIReference/API_CreateTargetGroup.html" TargetMode="External"/><Relationship Id="rId11" Type="http://schemas.openxmlformats.org/officeDocument/2006/relationships/hyperlink" Target="https://docs.aws.amazon.com/elasticloadbalancing/latest/application/edit-target-group-attributes.html" TargetMode="External"/><Relationship Id="rId12" Type="http://schemas.openxmlformats.org/officeDocument/2006/relationships/hyperlink" Target="https://docs.aws.amazon.com/AmazonECS/latest/developerguide/task_definition_parameters.html" TargetMode="External"/><Relationship Id="rId13" Type="http://schemas.openxmlformats.org/officeDocument/2006/relationships/hyperlink" Target="https://docs.aws.amazon.com/AmazonECS/latest/developerguide/fargate-task-networking.html" TargetMode="External"/><Relationship Id="rId14" Type="http://schemas.openxmlformats.org/officeDocument/2006/relationships/hyperlink" Target="https://docs.aws.amazon.com/AmazonECS/latest/developerguide/task-metadata-endpoint-v4-response.html" TargetMode="External"/><Relationship Id="rId15" Type="http://schemas.openxmlformats.org/officeDocument/2006/relationships/hyperlink" Target="https://github.com/aws-observability/aws-otel-collector/blob/main/cmd/awscollector/Dockerfile" TargetMode="External"/><Relationship Id="rId16" Type="http://schemas.openxmlformats.org/officeDocument/2006/relationships/hyperlink" Target="https://github.com/aws-observability/aws-otel-collector/blob/main/cmd/healthcheck/main.go" TargetMode="External"/><Relationship Id="rId17" Type="http://schemas.openxmlformats.org/officeDocument/2006/relationships/hyperlink" Target="https://github.com/open-telemetry/opentelemetry-collector-contrib/blob/main/extension/healthcheckextension/README.md" TargetMode="External"/><Relationship Id="rId18" Type="http://schemas.openxmlformats.org/officeDocument/2006/relationships/hyperlink" Target="https://opentelemetry.io/docs/collector/resiliency/" TargetMode="External"/><Relationship Id="rId19" Type="http://schemas.openxmlformats.org/officeDocument/2006/relationships/hyperlink" Target="https://github.com/aws/amazon-cloudwatch-agent/blob/main/amazon-cloudwatch-container-insights/cloudwatch-agent-dockerfile/Dockerfile" TargetMode="External"/><Relationship Id="rId20" Type="http://schemas.openxmlformats.org/officeDocument/2006/relationships/hyperlink" Target="https://docs.aws.amazon.com/AmazonCloudWatch/latest/monitoring/CloudWatch-Application-Signals-ECS-Sidecar.html" TargetMode="External"/><Relationship Id="rId21" Type="http://schemas.openxmlformats.org/officeDocument/2006/relationships/hyperlink" Target="https://docs.aws.amazon.com/AmazonECS/latest/developerguide/container-restart-policy.html" TargetMode="External"/><Relationship Id="rId22" Type="http://schemas.openxmlformats.org/officeDocument/2006/relationships/hyperlink" Target="https://docs.aws.amazon.com/AmazonECS/latest/APIReference/API_ContainerRestartPolicy.html" TargetMode="External"/><Relationship Id="rId23" Type="http://schemas.openxmlformats.org/officeDocument/2006/relationships/hyperlink" Target="https://docs.aws.amazon.com/AmazonECS/latest/developerguide/deployment-circuit-breaker.html" TargetMode="External"/><Relationship Id="rId24" Type="http://schemas.openxmlformats.org/officeDocument/2006/relationships/hyperlink" Target="https://docs.aws.amazon.com/AmazonECS/latest/developerguide/service_definition_parameters.html" TargetMode="External"/><Relationship Id="rId25" Type="http://schemas.openxmlformats.org/officeDocument/2006/relationships/hyperlink" Target="https://docs.redhat.com/ja/documentation/red_hat_jboss_enterprise_application_platform/8.1/html/configuration_guide/assembly-about-socket-bindings_default" TargetMode="External"/><Relationship Id="rId26" Type="http://schemas.openxmlformats.org/officeDocument/2006/relationships/hyperlink" Target="https://docs.redhat.com/en/documentation/red_hat_jboss_enterprise_application_platform/8.1/html-single/using_jboss_eap_xp_6.0/using_jboss_eap_xp_6.0" TargetMode="External"/><Relationship Id="rId27" Type="http://schemas.openxmlformats.org/officeDocument/2006/relationships/hyperlink" Target="https://docs.redhat.com/en/documentation/red_hat_jboss_enterprise_application_platform/8.1/html/using_jboss_eap_on_openshift_container_platform/assembly_reference-information-for-openshift-container-platform_default" TargetMode="External"/><Relationship Id="rId28" Type="http://schemas.openxmlformats.org/officeDocument/2006/relationships/hyperlink" Target="https://docs.redhat.com/en/documentation/red_hat_jboss_enterprise_application_platform/8.1/html/release_notes_for_red_hat_jboss_enterprise_application_platform_8.1/supported-configurations-rn_assembly-release-notes" TargetMode="External"/><Relationship Id="rId29" Type="http://schemas.openxmlformats.org/officeDocument/2006/relationships/hyperlink" Target="https://aws.amazon.com/jp/about-aws/whats-new/2017/12/amazon-ecs-adds-elb-health-check-grace-period/" TargetMode="External"/><Relationship Id="rId30" Type="http://schemas.openxmlformats.org/officeDocument/2006/relationships/hyperlink" Target="https://aws.amazon.com/pt/about-aws/whats-new/2018/03/amazon-ecs-supports-container-health-checks-and-task-health-mana/" TargetMode="External"/><Relationship Id="rId31" Type="http://schemas.openxmlformats.org/officeDocument/2006/relationships/hyperlink" Target="https://aws.amazon.com/about-aws/whats-new/2018/03/aws-fargate-platform-version-1-1/" TargetMode="External"/><Relationship Id="rId32" Type="http://schemas.openxmlformats.org/officeDocument/2006/relationships/hyperlink" Target="https://aws.amazon.com/about-aws/whats-new/2019/03/amazon-ecs-introduces-enhanced-container-dependency-management/" TargetMode="External"/><Relationship Id="rId33" Type="http://schemas.openxmlformats.org/officeDocument/2006/relationships/hyperlink" Target="https://docs.aws.amazon.com/AmazonECS/latest/developerguide/document_history.html" TargetMode="External"/><Relationship Id="rId34" Type="http://schemas.openxmlformats.org/officeDocument/2006/relationships/hyperlink" Target="https://docs.docker.com/reference/dockerfile/" TargetMode="External"/><Relationship Id="rId35" Type="http://schemas.openxmlformats.org/officeDocument/2006/relationships/hyperlink" Target="https://github.com/hashicorp/terraform-provider-aws/blob/main/website/docs/r/ecs_service.html.markdown" TargetMode="External"/><Relationship Id="rId36" Type="http://schemas.openxmlformats.org/officeDocument/2006/relationships/hyperlink" Target="https://github.com/hashicorp/terraform-provider-aws/blob/main/website/docs/r/lb_target_group.html.markdown" TargetMode="External"/><Relationship Id="rId37" Type="http://schemas.openxmlformats.org/officeDocument/2006/relationships/hyperlink" Target="https://github.com/aws/amazon-ecs-agent/blob/master/agent/engine/dependencygraph/graph.go" TargetMode="External"/><Relationship Id="rId38" Type="http://schemas.openxmlformats.org/officeDocument/2006/relationships/hyperlink" Target="https://docs.aws.amazon.com/elasticloadbalancing/latest/APIReference/API_TargetGroupAttribute.html" TargetMode="External"/><Relationship Id="rId39" Type="http://schemas.openxmlformats.org/officeDocument/2006/relationships/hyperlink" Target="https://docs.aws.amazon.com/AWSCloudFormation/latest/TemplateReference/aws-properties-ecs-taskdefinition-containerdefinition.html" TargetMode="External"/></Relationships>
</file>

<file path=xl/worksheets/sheet1.xml><?xml version="1.0" encoding="utf-8"?>
<worksheet xmlns="http://schemas.openxmlformats.org/spreadsheetml/2006/main" xmlns:r="http://schemas.openxmlformats.org/officeDocument/2006/relationships">
  <sheetPr>
    <tabColor rgb="FF777777"/>
    <pageSetUpPr fitToPage="1"/>
  </sheetPr>
  <dimension ref="A1:AV40"/>
  <sheetViews>
    <sheetView showGridLines="0" tabSelected="1"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5</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25" customHeight="1">
      <c r="A7" s="3" t="s">
        <v>6</v>
      </c>
      <c r="B7" s="5"/>
      <c r="C7" s="5"/>
      <c r="D7" s="5"/>
      <c r="E7" s="5"/>
      <c r="F7" s="5"/>
      <c r="G7" s="5"/>
      <c r="H7" s="5"/>
      <c r="I7" s="5"/>
      <c r="J7" s="5"/>
      <c r="K7" s="5"/>
      <c r="L7" s="5"/>
      <c r="M7" s="5"/>
      <c r="N7" s="5"/>
      <c r="O7" s="5"/>
      <c r="P7" s="5"/>
      <c r="Q7" s="5"/>
      <c r="R7" s="5"/>
      <c r="S7" s="5"/>
      <c r="T7" s="5"/>
      <c r="U7" s="5"/>
      <c r="V7" s="5"/>
      <c r="W7" s="5"/>
      <c r="X7" s="5"/>
      <c r="Y7" s="3" t="s">
        <v>7</v>
      </c>
      <c r="Z7" s="5"/>
      <c r="AA7" s="5"/>
      <c r="AB7" s="5"/>
      <c r="AC7" s="5"/>
      <c r="AD7" s="5"/>
      <c r="AE7" s="5"/>
      <c r="AF7" s="5"/>
      <c r="AG7" s="5"/>
      <c r="AH7" s="5"/>
      <c r="AI7" s="5"/>
      <c r="AJ7" s="5"/>
      <c r="AK7" s="5"/>
      <c r="AL7" s="5"/>
      <c r="AM7" s="5"/>
      <c r="AN7" s="5"/>
      <c r="AO7" s="5"/>
      <c r="AP7" s="5"/>
      <c r="AQ7" s="5"/>
      <c r="AR7" s="5"/>
      <c r="AS7" s="5"/>
      <c r="AT7" s="5"/>
      <c r="AU7" s="5"/>
      <c r="AV7" s="5"/>
    </row>
    <row r="8" spans="1:48" ht="25" customHeight="1">
      <c r="A8" s="3" t="s">
        <v>8</v>
      </c>
      <c r="B8" s="5"/>
      <c r="C8" s="5"/>
      <c r="D8" s="5"/>
      <c r="E8" s="5"/>
      <c r="F8" s="5"/>
      <c r="G8" s="5"/>
      <c r="H8" s="5"/>
      <c r="I8" s="5"/>
      <c r="J8" s="5"/>
      <c r="K8" s="5"/>
      <c r="L8" s="5"/>
      <c r="M8" s="5"/>
      <c r="N8" s="5"/>
      <c r="O8" s="5"/>
      <c r="P8" s="5"/>
      <c r="Q8" s="5"/>
      <c r="R8" s="5"/>
      <c r="S8" s="5"/>
      <c r="T8" s="5"/>
      <c r="U8" s="5"/>
      <c r="V8" s="5"/>
      <c r="W8" s="5"/>
      <c r="X8" s="5"/>
      <c r="Y8" s="3" t="s">
        <v>9</v>
      </c>
      <c r="Z8" s="5"/>
      <c r="AA8" s="5"/>
      <c r="AB8" s="5"/>
      <c r="AC8" s="5"/>
      <c r="AD8" s="5"/>
      <c r="AE8" s="5"/>
      <c r="AF8" s="5"/>
      <c r="AG8" s="5"/>
      <c r="AH8" s="5"/>
      <c r="AI8" s="5"/>
      <c r="AJ8" s="5"/>
      <c r="AK8" s="5"/>
      <c r="AL8" s="5"/>
      <c r="AM8" s="5"/>
      <c r="AN8" s="5"/>
      <c r="AO8" s="5"/>
      <c r="AP8" s="5"/>
      <c r="AQ8" s="5"/>
      <c r="AR8" s="5"/>
      <c r="AS8" s="5"/>
      <c r="AT8" s="5"/>
      <c r="AU8" s="5"/>
      <c r="AV8" s="5"/>
    </row>
    <row r="9" spans="1:48" ht="25" customHeight="1">
      <c r="A9" s="3" t="s">
        <v>10</v>
      </c>
      <c r="B9" s="5"/>
      <c r="C9" s="5"/>
      <c r="D9" s="5"/>
      <c r="E9" s="5"/>
      <c r="F9" s="5"/>
      <c r="G9" s="5"/>
      <c r="H9" s="5"/>
      <c r="I9" s="5"/>
      <c r="J9" s="5"/>
      <c r="K9" s="5"/>
      <c r="L9" s="5"/>
      <c r="M9" s="5"/>
      <c r="N9" s="5"/>
      <c r="O9" s="5"/>
      <c r="P9" s="5"/>
      <c r="Q9" s="5"/>
      <c r="R9" s="5"/>
      <c r="S9" s="5"/>
      <c r="T9" s="5"/>
      <c r="U9" s="5"/>
      <c r="V9" s="5"/>
      <c r="W9" s="5"/>
      <c r="X9" s="5"/>
      <c r="Y9" s="3" t="s">
        <v>11</v>
      </c>
      <c r="Z9" s="5"/>
      <c r="AA9" s="5"/>
      <c r="AB9" s="5"/>
      <c r="AC9" s="5"/>
      <c r="AD9" s="5"/>
      <c r="AE9" s="5"/>
      <c r="AF9" s="5"/>
      <c r="AG9" s="5"/>
      <c r="AH9" s="5"/>
      <c r="AI9" s="5"/>
      <c r="AJ9" s="5"/>
      <c r="AK9" s="5"/>
      <c r="AL9" s="5"/>
      <c r="AM9" s="5"/>
      <c r="AN9" s="5"/>
      <c r="AO9" s="5"/>
      <c r="AP9" s="5"/>
      <c r="AQ9" s="5"/>
      <c r="AR9" s="5"/>
      <c r="AS9" s="5"/>
      <c r="AT9" s="5"/>
      <c r="AU9" s="5"/>
      <c r="AV9" s="5"/>
    </row>
    <row r="10" spans="1:48" ht="25" customHeight="1">
      <c r="A10" s="3" t="s">
        <v>12</v>
      </c>
      <c r="B10" s="5"/>
      <c r="C10" s="5"/>
      <c r="D10" s="5"/>
      <c r="E10" s="5"/>
      <c r="F10" s="5"/>
      <c r="G10" s="5"/>
      <c r="H10" s="5"/>
      <c r="I10" s="5"/>
      <c r="J10" s="5"/>
      <c r="K10" s="5"/>
      <c r="L10" s="5"/>
      <c r="M10" s="5"/>
      <c r="N10" s="5"/>
      <c r="O10" s="5"/>
      <c r="P10" s="5"/>
      <c r="Q10" s="5"/>
      <c r="R10" s="5"/>
      <c r="S10" s="5"/>
      <c r="T10" s="5"/>
      <c r="U10" s="5"/>
      <c r="V10" s="5"/>
      <c r="W10" s="5"/>
      <c r="X10" s="5"/>
      <c r="Y10" s="3" t="s">
        <v>13</v>
      </c>
      <c r="Z10" s="5"/>
      <c r="AA10" s="5"/>
      <c r="AB10" s="5"/>
      <c r="AC10" s="5"/>
      <c r="AD10" s="5"/>
      <c r="AE10" s="5"/>
      <c r="AF10" s="5"/>
      <c r="AG10" s="5"/>
      <c r="AH10" s="5"/>
      <c r="AI10" s="5"/>
      <c r="AJ10" s="5"/>
      <c r="AK10" s="5"/>
      <c r="AL10" s="5"/>
      <c r="AM10" s="5"/>
      <c r="AN10" s="5"/>
      <c r="AO10" s="5"/>
      <c r="AP10" s="5"/>
      <c r="AQ10" s="5"/>
      <c r="AR10" s="5"/>
      <c r="AS10" s="5"/>
      <c r="AT10" s="5"/>
      <c r="AU10" s="5"/>
      <c r="AV10" s="5"/>
    </row>
    <row r="11" spans="1:48" ht="25" customHeight="1">
      <c r="A11" s="3" t="s">
        <v>14</v>
      </c>
      <c r="B11" s="5"/>
      <c r="C11" s="5"/>
      <c r="D11" s="5"/>
      <c r="E11" s="5"/>
      <c r="F11" s="5"/>
      <c r="G11" s="5"/>
      <c r="H11" s="5"/>
      <c r="I11" s="5"/>
      <c r="J11" s="5"/>
      <c r="K11" s="5"/>
      <c r="L11" s="5"/>
      <c r="M11" s="5"/>
      <c r="N11" s="5"/>
      <c r="O11" s="5"/>
      <c r="P11" s="5"/>
      <c r="Q11" s="5"/>
      <c r="R11" s="5"/>
      <c r="S11" s="5"/>
      <c r="T11" s="5"/>
      <c r="U11" s="5"/>
      <c r="V11" s="5"/>
      <c r="W11" s="5"/>
      <c r="X11" s="5"/>
      <c r="Y11" s="3" t="s">
        <v>15</v>
      </c>
      <c r="Z11" s="5"/>
      <c r="AA11" s="5"/>
      <c r="AB11" s="5"/>
      <c r="AC11" s="5"/>
      <c r="AD11" s="5"/>
      <c r="AE11" s="5"/>
      <c r="AF11" s="5"/>
      <c r="AG11" s="5"/>
      <c r="AH11" s="5"/>
      <c r="AI11" s="5"/>
      <c r="AJ11" s="5"/>
      <c r="AK11" s="5"/>
      <c r="AL11" s="5"/>
      <c r="AM11" s="5"/>
      <c r="AN11" s="5"/>
      <c r="AO11" s="5"/>
      <c r="AP11" s="5"/>
      <c r="AQ11" s="5"/>
      <c r="AR11" s="5"/>
      <c r="AS11" s="5"/>
      <c r="AT11" s="5"/>
      <c r="AU11" s="5"/>
      <c r="AV11" s="5"/>
    </row>
    <row r="12" spans="1:48" ht="25" customHeight="1">
      <c r="A12" s="3" t="s">
        <v>16</v>
      </c>
      <c r="B12" s="5"/>
      <c r="C12" s="5"/>
      <c r="D12" s="5"/>
      <c r="E12" s="5"/>
      <c r="F12" s="5"/>
      <c r="G12" s="5"/>
      <c r="H12" s="5"/>
      <c r="I12" s="5"/>
      <c r="J12" s="5"/>
      <c r="K12" s="5"/>
      <c r="L12" s="5"/>
      <c r="M12" s="5"/>
      <c r="N12" s="5"/>
      <c r="O12" s="5"/>
      <c r="P12" s="5"/>
      <c r="Q12" s="5"/>
      <c r="R12" s="5"/>
      <c r="S12" s="5"/>
      <c r="T12" s="5"/>
      <c r="U12" s="5"/>
      <c r="V12" s="5"/>
      <c r="W12" s="5"/>
      <c r="X12" s="5"/>
      <c r="Y12" s="3" t="s">
        <v>17</v>
      </c>
      <c r="Z12" s="5"/>
      <c r="AA12" s="5"/>
      <c r="AB12" s="5"/>
      <c r="AC12" s="5"/>
      <c r="AD12" s="5"/>
      <c r="AE12" s="5"/>
      <c r="AF12" s="5"/>
      <c r="AG12" s="5"/>
      <c r="AH12" s="5"/>
      <c r="AI12" s="5"/>
      <c r="AJ12" s="5"/>
      <c r="AK12" s="5"/>
      <c r="AL12" s="5"/>
      <c r="AM12" s="5"/>
      <c r="AN12" s="5"/>
      <c r="AO12" s="5"/>
      <c r="AP12" s="5"/>
      <c r="AQ12" s="5"/>
      <c r="AR12" s="5"/>
      <c r="AS12" s="5"/>
      <c r="AT12" s="5"/>
      <c r="AU12" s="5"/>
      <c r="AV12" s="5"/>
    </row>
    <row r="13" spans="1:48" ht="25" customHeight="1">
      <c r="A13" s="3" t="s">
        <v>18</v>
      </c>
      <c r="B13" s="5"/>
      <c r="C13" s="5"/>
      <c r="D13" s="5"/>
      <c r="E13" s="5"/>
      <c r="F13" s="5"/>
      <c r="G13" s="5"/>
      <c r="H13" s="5"/>
      <c r="I13" s="5"/>
      <c r="J13" s="5"/>
      <c r="K13" s="5"/>
      <c r="L13" s="5"/>
      <c r="M13" s="5"/>
      <c r="N13" s="5"/>
      <c r="O13" s="5"/>
      <c r="P13" s="5"/>
      <c r="Q13" s="5"/>
      <c r="R13" s="5"/>
      <c r="S13" s="5"/>
      <c r="T13" s="5"/>
      <c r="U13" s="5"/>
      <c r="V13" s="5"/>
      <c r="W13" s="5"/>
      <c r="X13" s="5"/>
      <c r="Y13" s="3" t="s">
        <v>19</v>
      </c>
      <c r="Z13" s="5"/>
      <c r="AA13" s="5"/>
      <c r="AB13" s="5"/>
      <c r="AC13" s="5"/>
      <c r="AD13" s="5"/>
      <c r="AE13" s="5"/>
      <c r="AF13" s="5"/>
      <c r="AG13" s="5"/>
      <c r="AH13" s="5"/>
      <c r="AI13" s="5"/>
      <c r="AJ13" s="5"/>
      <c r="AK13" s="5"/>
      <c r="AL13" s="5"/>
      <c r="AM13" s="5"/>
      <c r="AN13" s="5"/>
      <c r="AO13" s="5"/>
      <c r="AP13" s="5"/>
      <c r="AQ13" s="5"/>
      <c r="AR13" s="5"/>
      <c r="AS13" s="5"/>
      <c r="AT13" s="5"/>
      <c r="AU13" s="5"/>
      <c r="AV13" s="5"/>
    </row>
    <row r="14" spans="1:48" ht="25" customHeight="1">
      <c r="A14" s="3" t="s">
        <v>20</v>
      </c>
      <c r="B14" s="5"/>
      <c r="C14" s="5"/>
      <c r="D14" s="5"/>
      <c r="E14" s="5"/>
      <c r="F14" s="5"/>
      <c r="G14" s="5"/>
      <c r="H14" s="5"/>
      <c r="I14" s="5"/>
      <c r="J14" s="5"/>
      <c r="K14" s="5"/>
      <c r="L14" s="5"/>
      <c r="M14" s="5"/>
      <c r="N14" s="5"/>
      <c r="O14" s="5"/>
      <c r="P14" s="5"/>
      <c r="Q14" s="5"/>
      <c r="R14" s="5"/>
      <c r="S14" s="5"/>
      <c r="T14" s="5"/>
      <c r="U14" s="5"/>
      <c r="V14" s="5"/>
      <c r="W14" s="5"/>
      <c r="X14" s="5"/>
      <c r="Y14" s="3" t="s">
        <v>21</v>
      </c>
      <c r="Z14" s="5"/>
      <c r="AA14" s="5"/>
      <c r="AB14" s="5"/>
      <c r="AC14" s="5"/>
      <c r="AD14" s="5"/>
      <c r="AE14" s="5"/>
      <c r="AF14" s="5"/>
      <c r="AG14" s="5"/>
      <c r="AH14" s="5"/>
      <c r="AI14" s="5"/>
      <c r="AJ14" s="5"/>
      <c r="AK14" s="5"/>
      <c r="AL14" s="5"/>
      <c r="AM14" s="5"/>
      <c r="AN14" s="5"/>
      <c r="AO14" s="5"/>
      <c r="AP14" s="5"/>
      <c r="AQ14" s="5"/>
      <c r="AR14" s="5"/>
      <c r="AS14" s="5"/>
      <c r="AT14" s="5"/>
      <c r="AU14" s="5"/>
      <c r="AV14" s="5"/>
    </row>
    <row r="15" spans="1:48" ht="25" customHeight="1">
      <c r="A15" s="3" t="s">
        <v>22</v>
      </c>
      <c r="B15" s="5"/>
      <c r="C15" s="5"/>
      <c r="D15" s="5"/>
      <c r="E15" s="5"/>
      <c r="F15" s="5"/>
      <c r="G15" s="5"/>
      <c r="H15" s="5"/>
      <c r="I15" s="5"/>
      <c r="J15" s="5"/>
      <c r="K15" s="5"/>
      <c r="L15" s="5"/>
      <c r="M15" s="5"/>
      <c r="N15" s="5"/>
      <c r="O15" s="5"/>
      <c r="P15" s="5"/>
      <c r="Q15" s="5"/>
      <c r="R15" s="5"/>
      <c r="S15" s="5"/>
      <c r="T15" s="5"/>
      <c r="U15" s="5"/>
      <c r="V15" s="5"/>
      <c r="W15" s="5"/>
      <c r="X15" s="5"/>
      <c r="Y15" s="3" t="s">
        <v>23</v>
      </c>
      <c r="Z15" s="5"/>
      <c r="AA15" s="5"/>
      <c r="AB15" s="5"/>
      <c r="AC15" s="5"/>
      <c r="AD15" s="5"/>
      <c r="AE15" s="5"/>
      <c r="AF15" s="5"/>
      <c r="AG15" s="5"/>
      <c r="AH15" s="5"/>
      <c r="AI15" s="5"/>
      <c r="AJ15" s="5"/>
      <c r="AK15" s="5"/>
      <c r="AL15" s="5"/>
      <c r="AM15" s="5"/>
      <c r="AN15" s="5"/>
      <c r="AO15" s="5"/>
      <c r="AP15" s="5"/>
      <c r="AQ15" s="5"/>
      <c r="AR15" s="5"/>
      <c r="AS15" s="5"/>
      <c r="AT15" s="5"/>
      <c r="AU15" s="5"/>
      <c r="AV15" s="5"/>
    </row>
    <row r="16" spans="1:48" ht="25" customHeight="1">
      <c r="A16" s="3" t="s">
        <v>24</v>
      </c>
      <c r="B16" s="5"/>
      <c r="C16" s="5"/>
      <c r="D16" s="5"/>
      <c r="E16" s="5"/>
      <c r="F16" s="5"/>
      <c r="G16" s="5"/>
      <c r="H16" s="5"/>
      <c r="I16" s="5"/>
      <c r="J16" s="5"/>
      <c r="K16" s="5"/>
      <c r="L16" s="5"/>
      <c r="M16" s="5"/>
      <c r="N16" s="5"/>
      <c r="O16" s="5"/>
      <c r="P16" s="5"/>
      <c r="Q16" s="5"/>
      <c r="R16" s="5"/>
      <c r="S16" s="5"/>
      <c r="T16" s="5"/>
      <c r="U16" s="5"/>
      <c r="V16" s="5"/>
      <c r="W16" s="5"/>
      <c r="X16" s="5"/>
      <c r="Y16" s="3" t="s">
        <v>25</v>
      </c>
      <c r="Z16" s="5"/>
      <c r="AA16" s="5"/>
      <c r="AB16" s="5"/>
      <c r="AC16" s="5"/>
      <c r="AD16" s="5"/>
      <c r="AE16" s="5"/>
      <c r="AF16" s="5"/>
      <c r="AG16" s="5"/>
      <c r="AH16" s="5"/>
      <c r="AI16" s="5"/>
      <c r="AJ16" s="5"/>
      <c r="AK16" s="5"/>
      <c r="AL16" s="5"/>
      <c r="AM16" s="5"/>
      <c r="AN16" s="5"/>
      <c r="AO16" s="5"/>
      <c r="AP16" s="5"/>
      <c r="AQ16" s="5"/>
      <c r="AR16" s="5"/>
      <c r="AS16" s="5"/>
      <c r="AT16" s="5"/>
      <c r="AU16" s="5"/>
      <c r="AV16" s="5"/>
    </row>
    <row r="17" spans="1:48" ht="25" customHeight="1">
      <c r="A17" s="3" t="s">
        <v>26</v>
      </c>
      <c r="B17" s="5"/>
      <c r="C17" s="5"/>
      <c r="D17" s="5"/>
      <c r="E17" s="5"/>
      <c r="F17" s="5"/>
      <c r="G17" s="5"/>
      <c r="H17" s="5"/>
      <c r="I17" s="5"/>
      <c r="J17" s="5"/>
      <c r="K17" s="5"/>
      <c r="L17" s="5"/>
      <c r="M17" s="5"/>
      <c r="N17" s="5"/>
      <c r="O17" s="5"/>
      <c r="P17" s="5"/>
      <c r="Q17" s="5"/>
      <c r="R17" s="5"/>
      <c r="S17" s="5"/>
      <c r="T17" s="5"/>
      <c r="U17" s="5"/>
      <c r="V17" s="5"/>
      <c r="W17" s="5"/>
      <c r="X17" s="5"/>
    </row>
    <row r="19" spans="1:48" ht="63" customHeight="1">
      <c r="A19" s="6" t="s">
        <v>27</v>
      </c>
      <c r="B19" s="6"/>
      <c r="C19" s="6"/>
      <c r="D19" s="6"/>
      <c r="E19" s="6"/>
      <c r="F19" s="6"/>
      <c r="G19" s="6"/>
      <c r="H19" s="6"/>
      <c r="I19" s="6"/>
      <c r="J19" s="6"/>
      <c r="K19" s="5" t="s">
        <v>28</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ht="8" customHeight="1"/>
    <row r="21" spans="1:48" ht="29" customHeight="1">
      <c r="A21" s="4" t="s">
        <v>29</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ht="30" customHeight="1">
      <c r="A22" s="7" t="s">
        <v>30</v>
      </c>
      <c r="B22" s="7"/>
      <c r="C22" s="7"/>
      <c r="D22" s="7"/>
      <c r="E22" s="7"/>
      <c r="F22" s="7"/>
      <c r="G22" s="7"/>
      <c r="H22" s="7"/>
      <c r="I22" s="7" t="s">
        <v>31</v>
      </c>
      <c r="J22" s="7"/>
      <c r="K22" s="7"/>
      <c r="L22" s="7"/>
      <c r="M22" s="7"/>
      <c r="N22" s="7"/>
      <c r="O22" s="7"/>
      <c r="P22" s="7"/>
      <c r="Q22" s="7"/>
      <c r="R22" s="7"/>
      <c r="S22" s="7"/>
      <c r="T22" s="7"/>
      <c r="U22" s="7"/>
      <c r="V22" s="7"/>
      <c r="W22" s="7"/>
      <c r="X22" s="7"/>
      <c r="Y22" s="7"/>
      <c r="Z22" s="7"/>
      <c r="AA22" s="7"/>
      <c r="AB22" s="7"/>
      <c r="AC22" s="7"/>
      <c r="AD22" s="7" t="s">
        <v>32</v>
      </c>
      <c r="AE22" s="7"/>
      <c r="AF22" s="7"/>
      <c r="AG22" s="7"/>
      <c r="AH22" s="7"/>
      <c r="AI22" s="7"/>
      <c r="AJ22" s="7"/>
      <c r="AK22" s="7"/>
      <c r="AL22" s="7"/>
      <c r="AM22" s="7"/>
      <c r="AN22" s="7"/>
      <c r="AO22" s="7"/>
      <c r="AP22" s="7"/>
      <c r="AQ22" s="7"/>
      <c r="AR22" s="7"/>
      <c r="AS22" s="7"/>
      <c r="AT22" s="7"/>
      <c r="AU22" s="7"/>
      <c r="AV22" s="7"/>
    </row>
    <row r="23" spans="1:48" ht="46" customHeight="1">
      <c r="A23" s="5" t="s">
        <v>33</v>
      </c>
      <c r="B23" s="5"/>
      <c r="C23" s="5"/>
      <c r="D23" s="5"/>
      <c r="E23" s="5"/>
      <c r="F23" s="5"/>
      <c r="G23" s="5"/>
      <c r="H23" s="5"/>
      <c r="I23" s="5" t="s">
        <v>34</v>
      </c>
      <c r="J23" s="5"/>
      <c r="K23" s="5"/>
      <c r="L23" s="5"/>
      <c r="M23" s="5"/>
      <c r="N23" s="5"/>
      <c r="O23" s="5"/>
      <c r="P23" s="5"/>
      <c r="Q23" s="5"/>
      <c r="R23" s="5"/>
      <c r="S23" s="5"/>
      <c r="T23" s="5"/>
      <c r="U23" s="5"/>
      <c r="V23" s="5"/>
      <c r="W23" s="5"/>
      <c r="X23" s="5"/>
      <c r="Y23" s="5"/>
      <c r="Z23" s="5"/>
      <c r="AA23" s="5"/>
      <c r="AB23" s="5"/>
      <c r="AC23" s="5"/>
      <c r="AD23" s="5" t="s">
        <v>35</v>
      </c>
      <c r="AE23" s="5"/>
      <c r="AF23" s="5"/>
      <c r="AG23" s="5"/>
      <c r="AH23" s="5"/>
      <c r="AI23" s="5"/>
      <c r="AJ23" s="5"/>
      <c r="AK23" s="5"/>
      <c r="AL23" s="5"/>
      <c r="AM23" s="5"/>
      <c r="AN23" s="5"/>
      <c r="AO23" s="5"/>
      <c r="AP23" s="5"/>
      <c r="AQ23" s="5"/>
      <c r="AR23" s="5"/>
      <c r="AS23" s="5"/>
      <c r="AT23" s="5"/>
      <c r="AU23" s="5"/>
      <c r="AV23" s="5"/>
    </row>
    <row r="24" spans="1:48" ht="46" customHeight="1">
      <c r="A24" s="8" t="s">
        <v>36</v>
      </c>
      <c r="B24" s="8"/>
      <c r="C24" s="8"/>
      <c r="D24" s="8"/>
      <c r="E24" s="8"/>
      <c r="F24" s="8"/>
      <c r="G24" s="8"/>
      <c r="H24" s="8"/>
      <c r="I24" s="8" t="s">
        <v>37</v>
      </c>
      <c r="J24" s="8"/>
      <c r="K24" s="8"/>
      <c r="L24" s="8"/>
      <c r="M24" s="8"/>
      <c r="N24" s="8"/>
      <c r="O24" s="8"/>
      <c r="P24" s="8"/>
      <c r="Q24" s="8"/>
      <c r="R24" s="8"/>
      <c r="S24" s="8"/>
      <c r="T24" s="8"/>
      <c r="U24" s="8"/>
      <c r="V24" s="8"/>
      <c r="W24" s="8"/>
      <c r="X24" s="8"/>
      <c r="Y24" s="8"/>
      <c r="Z24" s="8"/>
      <c r="AA24" s="8"/>
      <c r="AB24" s="8"/>
      <c r="AC24" s="8"/>
      <c r="AD24" s="8" t="s">
        <v>38</v>
      </c>
      <c r="AE24" s="8"/>
      <c r="AF24" s="8"/>
      <c r="AG24" s="8"/>
      <c r="AH24" s="8"/>
      <c r="AI24" s="8"/>
      <c r="AJ24" s="8"/>
      <c r="AK24" s="8"/>
      <c r="AL24" s="8"/>
      <c r="AM24" s="8"/>
      <c r="AN24" s="8"/>
      <c r="AO24" s="8"/>
      <c r="AP24" s="8"/>
      <c r="AQ24" s="8"/>
      <c r="AR24" s="8"/>
      <c r="AS24" s="8"/>
      <c r="AT24" s="8"/>
      <c r="AU24" s="8"/>
      <c r="AV24" s="8"/>
    </row>
    <row r="25" spans="1:48" ht="29" customHeight="1">
      <c r="A25" s="5" t="s">
        <v>39</v>
      </c>
      <c r="B25" s="5"/>
      <c r="C25" s="5"/>
      <c r="D25" s="5"/>
      <c r="E25" s="5"/>
      <c r="F25" s="5"/>
      <c r="G25" s="5"/>
      <c r="H25" s="5"/>
      <c r="I25" s="5" t="s">
        <v>40</v>
      </c>
      <c r="J25" s="5"/>
      <c r="K25" s="5"/>
      <c r="L25" s="5"/>
      <c r="M25" s="5"/>
      <c r="N25" s="5"/>
      <c r="O25" s="5"/>
      <c r="P25" s="5"/>
      <c r="Q25" s="5"/>
      <c r="R25" s="5"/>
      <c r="S25" s="5"/>
      <c r="T25" s="5"/>
      <c r="U25" s="5"/>
      <c r="V25" s="5"/>
      <c r="W25" s="5"/>
      <c r="X25" s="5"/>
      <c r="Y25" s="5"/>
      <c r="Z25" s="5"/>
      <c r="AA25" s="5"/>
      <c r="AB25" s="5"/>
      <c r="AC25" s="5"/>
      <c r="AD25" s="5" t="s">
        <v>41</v>
      </c>
      <c r="AE25" s="5"/>
      <c r="AF25" s="5"/>
      <c r="AG25" s="5"/>
      <c r="AH25" s="5"/>
      <c r="AI25" s="5"/>
      <c r="AJ25" s="5"/>
      <c r="AK25" s="5"/>
      <c r="AL25" s="5"/>
      <c r="AM25" s="5"/>
      <c r="AN25" s="5"/>
      <c r="AO25" s="5"/>
      <c r="AP25" s="5"/>
      <c r="AQ25" s="5"/>
      <c r="AR25" s="5"/>
      <c r="AS25" s="5"/>
      <c r="AT25" s="5"/>
      <c r="AU25" s="5"/>
      <c r="AV25" s="5"/>
    </row>
    <row r="26" spans="1:48" ht="46" customHeight="1">
      <c r="A26" s="8" t="s">
        <v>42</v>
      </c>
      <c r="B26" s="8"/>
      <c r="C26" s="8"/>
      <c r="D26" s="8"/>
      <c r="E26" s="8"/>
      <c r="F26" s="8"/>
      <c r="G26" s="8"/>
      <c r="H26" s="8"/>
      <c r="I26" s="8" t="s">
        <v>43</v>
      </c>
      <c r="J26" s="8"/>
      <c r="K26" s="8"/>
      <c r="L26" s="8"/>
      <c r="M26" s="8"/>
      <c r="N26" s="8"/>
      <c r="O26" s="8"/>
      <c r="P26" s="8"/>
      <c r="Q26" s="8"/>
      <c r="R26" s="8"/>
      <c r="S26" s="8"/>
      <c r="T26" s="8"/>
      <c r="U26" s="8"/>
      <c r="V26" s="8"/>
      <c r="W26" s="8"/>
      <c r="X26" s="8"/>
      <c r="Y26" s="8"/>
      <c r="Z26" s="8"/>
      <c r="AA26" s="8"/>
      <c r="AB26" s="8"/>
      <c r="AC26" s="8"/>
      <c r="AD26" s="8" t="s">
        <v>44</v>
      </c>
      <c r="AE26" s="8"/>
      <c r="AF26" s="8"/>
      <c r="AG26" s="8"/>
      <c r="AH26" s="8"/>
      <c r="AI26" s="8"/>
      <c r="AJ26" s="8"/>
      <c r="AK26" s="8"/>
      <c r="AL26" s="8"/>
      <c r="AM26" s="8"/>
      <c r="AN26" s="8"/>
      <c r="AO26" s="8"/>
      <c r="AP26" s="8"/>
      <c r="AQ26" s="8"/>
      <c r="AR26" s="8"/>
      <c r="AS26" s="8"/>
      <c r="AT26" s="8"/>
      <c r="AU26" s="8"/>
      <c r="AV26" s="8"/>
    </row>
    <row r="27" spans="1:48" ht="29" customHeight="1">
      <c r="A27" s="5" t="s">
        <v>45</v>
      </c>
      <c r="B27" s="5"/>
      <c r="C27" s="5"/>
      <c r="D27" s="5"/>
      <c r="E27" s="5"/>
      <c r="F27" s="5"/>
      <c r="G27" s="5"/>
      <c r="H27" s="5"/>
      <c r="I27" s="5" t="s">
        <v>46</v>
      </c>
      <c r="J27" s="5"/>
      <c r="K27" s="5"/>
      <c r="L27" s="5"/>
      <c r="M27" s="5"/>
      <c r="N27" s="5"/>
      <c r="O27" s="5"/>
      <c r="P27" s="5"/>
      <c r="Q27" s="5"/>
      <c r="R27" s="5"/>
      <c r="S27" s="5"/>
      <c r="T27" s="5"/>
      <c r="U27" s="5"/>
      <c r="V27" s="5"/>
      <c r="W27" s="5"/>
      <c r="X27" s="5"/>
      <c r="Y27" s="5"/>
      <c r="Z27" s="5"/>
      <c r="AA27" s="5"/>
      <c r="AB27" s="5"/>
      <c r="AC27" s="5"/>
      <c r="AD27" s="5" t="s">
        <v>47</v>
      </c>
      <c r="AE27" s="5"/>
      <c r="AF27" s="5"/>
      <c r="AG27" s="5"/>
      <c r="AH27" s="5"/>
      <c r="AI27" s="5"/>
      <c r="AJ27" s="5"/>
      <c r="AK27" s="5"/>
      <c r="AL27" s="5"/>
      <c r="AM27" s="5"/>
      <c r="AN27" s="5"/>
      <c r="AO27" s="5"/>
      <c r="AP27" s="5"/>
      <c r="AQ27" s="5"/>
      <c r="AR27" s="5"/>
      <c r="AS27" s="5"/>
      <c r="AT27" s="5"/>
      <c r="AU27" s="5"/>
      <c r="AV27" s="5"/>
    </row>
    <row r="28" spans="1:48" ht="29" customHeight="1">
      <c r="A28" s="8" t="s">
        <v>48</v>
      </c>
      <c r="B28" s="8"/>
      <c r="C28" s="8"/>
      <c r="D28" s="8"/>
      <c r="E28" s="8"/>
      <c r="F28" s="8"/>
      <c r="G28" s="8"/>
      <c r="H28" s="8"/>
      <c r="I28" s="8" t="s">
        <v>49</v>
      </c>
      <c r="J28" s="8"/>
      <c r="K28" s="8"/>
      <c r="L28" s="8"/>
      <c r="M28" s="8"/>
      <c r="N28" s="8"/>
      <c r="O28" s="8"/>
      <c r="P28" s="8"/>
      <c r="Q28" s="8"/>
      <c r="R28" s="8"/>
      <c r="S28" s="8"/>
      <c r="T28" s="8"/>
      <c r="U28" s="8"/>
      <c r="V28" s="8"/>
      <c r="W28" s="8"/>
      <c r="X28" s="8"/>
      <c r="Y28" s="8"/>
      <c r="Z28" s="8"/>
      <c r="AA28" s="8"/>
      <c r="AB28" s="8"/>
      <c r="AC28" s="8"/>
      <c r="AD28" s="8" t="s">
        <v>50</v>
      </c>
      <c r="AE28" s="8"/>
      <c r="AF28" s="8"/>
      <c r="AG28" s="8"/>
      <c r="AH28" s="8"/>
      <c r="AI28" s="8"/>
      <c r="AJ28" s="8"/>
      <c r="AK28" s="8"/>
      <c r="AL28" s="8"/>
      <c r="AM28" s="8"/>
      <c r="AN28" s="8"/>
      <c r="AO28" s="8"/>
      <c r="AP28" s="8"/>
      <c r="AQ28" s="8"/>
      <c r="AR28" s="8"/>
      <c r="AS28" s="8"/>
      <c r="AT28" s="8"/>
      <c r="AU28" s="8"/>
      <c r="AV28" s="8"/>
    </row>
    <row r="29" spans="1:48" ht="21" customHeight="1">
      <c r="A29" s="9" t="s">
        <v>51</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row>
    <row r="30" spans="1:48" ht="10" customHeight="1"/>
    <row r="31" spans="1:48" ht="63" customHeight="1">
      <c r="A31" s="6" t="s">
        <v>52</v>
      </c>
      <c r="B31" s="6"/>
      <c r="C31" s="6"/>
      <c r="D31" s="6"/>
      <c r="E31" s="6"/>
      <c r="F31" s="6"/>
      <c r="G31" s="6"/>
      <c r="H31" s="6"/>
      <c r="I31" s="6"/>
      <c r="J31" s="6"/>
      <c r="K31" s="5" t="s">
        <v>53</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ht="8" customHeight="1"/>
    <row r="33" spans="1:48" ht="63" customHeight="1">
      <c r="A33" s="6" t="s">
        <v>54</v>
      </c>
      <c r="B33" s="6"/>
      <c r="C33" s="6"/>
      <c r="D33" s="6"/>
      <c r="E33" s="6"/>
      <c r="F33" s="6"/>
      <c r="G33" s="6"/>
      <c r="H33" s="6"/>
      <c r="I33" s="6"/>
      <c r="J33" s="6"/>
      <c r="K33" s="5" t="s">
        <v>55</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ht="21" customHeight="1">
      <c r="A34" s="9" t="s">
        <v>56</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row>
    <row r="35" spans="1:48" ht="8" customHeight="1"/>
    <row r="36" spans="1:48" ht="46" customHeight="1">
      <c r="A36" s="6" t="s">
        <v>57</v>
      </c>
      <c r="B36" s="6"/>
      <c r="C36" s="6"/>
      <c r="D36" s="6"/>
      <c r="E36" s="6"/>
      <c r="F36" s="6"/>
      <c r="G36" s="6"/>
      <c r="H36" s="6"/>
      <c r="I36" s="6"/>
      <c r="J36" s="6"/>
      <c r="K36" s="5" t="s">
        <v>58</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ht="21" customHeight="1">
      <c r="A37" s="9" t="s">
        <v>59</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row>
    <row r="38" spans="1:48" ht="8" customHeight="1"/>
    <row r="39" spans="1:48" ht="46" customHeight="1">
      <c r="A39" s="6" t="s">
        <v>60</v>
      </c>
      <c r="B39" s="6"/>
      <c r="C39" s="6"/>
      <c r="D39" s="6"/>
      <c r="E39" s="6"/>
      <c r="F39" s="6"/>
      <c r="G39" s="6"/>
      <c r="H39" s="6"/>
      <c r="I39" s="6"/>
      <c r="J39" s="6"/>
      <c r="K39" s="5" t="s">
        <v>61</v>
      </c>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ht="8" customHeight="1"/>
  </sheetData>
  <mergeCells count="62">
    <mergeCell ref="A1:AV1"/>
    <mergeCell ref="A2:AV2"/>
    <mergeCell ref="A3:AV3"/>
    <mergeCell ref="A4:X4"/>
    <mergeCell ref="Y4:AV4"/>
    <mergeCell ref="A6:AV6"/>
    <mergeCell ref="A7:X7"/>
    <mergeCell ref="Y7:AV7"/>
    <mergeCell ref="A8:X8"/>
    <mergeCell ref="Y8:AV8"/>
    <mergeCell ref="A9:X9"/>
    <mergeCell ref="Y9:AV9"/>
    <mergeCell ref="A10:X10"/>
    <mergeCell ref="Y10:AV10"/>
    <mergeCell ref="A11:X11"/>
    <mergeCell ref="Y11:AV11"/>
    <mergeCell ref="A12:X12"/>
    <mergeCell ref="Y12:AV12"/>
    <mergeCell ref="A13:X13"/>
    <mergeCell ref="Y13:AV13"/>
    <mergeCell ref="A14:X14"/>
    <mergeCell ref="Y14:AV14"/>
    <mergeCell ref="A15:X15"/>
    <mergeCell ref="Y15:AV15"/>
    <mergeCell ref="A16:X16"/>
    <mergeCell ref="Y16:AV16"/>
    <mergeCell ref="A17:X17"/>
    <mergeCell ref="A19:J19"/>
    <mergeCell ref="K19:AV19"/>
    <mergeCell ref="A21:AV21"/>
    <mergeCell ref="A22:H22"/>
    <mergeCell ref="I22:AC22"/>
    <mergeCell ref="AD22:AV22"/>
    <mergeCell ref="A23:H23"/>
    <mergeCell ref="I23:AC23"/>
    <mergeCell ref="AD23:AV23"/>
    <mergeCell ref="A24:H24"/>
    <mergeCell ref="I24:AC24"/>
    <mergeCell ref="AD24:AV24"/>
    <mergeCell ref="A25:H25"/>
    <mergeCell ref="I25:AC25"/>
    <mergeCell ref="AD25:AV25"/>
    <mergeCell ref="A26:H26"/>
    <mergeCell ref="I26:AC26"/>
    <mergeCell ref="AD26:AV26"/>
    <mergeCell ref="A27:H27"/>
    <mergeCell ref="I27:AC27"/>
    <mergeCell ref="AD27:AV27"/>
    <mergeCell ref="A28:H28"/>
    <mergeCell ref="I28:AC28"/>
    <mergeCell ref="AD28:AV28"/>
    <mergeCell ref="A29:AV29"/>
    <mergeCell ref="A31:J31"/>
    <mergeCell ref="K31:AV31"/>
    <mergeCell ref="A33:J33"/>
    <mergeCell ref="K33:AV33"/>
    <mergeCell ref="A34:AV34"/>
    <mergeCell ref="A36:J36"/>
    <mergeCell ref="K36:AV36"/>
    <mergeCell ref="A37:AV37"/>
    <mergeCell ref="A39:J39"/>
    <mergeCell ref="K39:AV39"/>
  </mergeCells>
  <hyperlinks>
    <hyperlink ref="A4" location="'00_結論と読み方'!A1" display="目次へ"/>
    <hyperlink ref="Y4" location="'18_出典と適用範囲'!A1" display="出典一覧へ"/>
    <hyperlink ref="A7" location="'00_結論と読み方'!A1" display="00_結論と読み方  最初に押さえる結論"/>
    <hyperlink ref="Y7" location="'01_仕組みと時計'!A1" display="01_仕組みと時計  お店の開店にたとえて理解する"/>
    <hyperlink ref="A8" location="'01b_用語をやさしく'!A1" display="01b_用語をやさしく  途中で困らないための用語集"/>
    <hyperlink ref="Y8" location="'02_設定値の範囲'!A1" display="02_設定値の範囲  どこに何を指定できるか"/>
    <hyperlink ref="A9" location="'03_依存とessential'!A1" display="03_依存とessential  dependsOnとessentialの正確な役割"/>
    <hyperlink ref="Y9" location="'04_パターン比較'!A1" display="04_パターン比較  時間パターン別の具体案"/>
    <hyperlink ref="A10" location="'05_コンテナ設定'!A1" display="05_コンテナ設定  4コンテナに入れる具体値"/>
    <hyperlink ref="Y10" location="'06_ALBとサービス'!A1" display="06_ALBとサービス  ALBの判定とECSの猶予を組み合わせる"/>
    <hyperlink ref="A11" location="'07_起動時系列'!A1" display="07_起動時系列  時刻を並べて動きを見る"/>
    <hyperlink ref="Y11" location="'07b_時系列図'!A1" display="07b_時系列図  P2 / P4 / P3の比較図"/>
    <hyperlink ref="A12" location="'08_時間計算'!A1" display="08_時間計算  値を選ぶための計算方法"/>
    <hyperlink ref="Y12" location="'09_EAPと健康判定'!A1" display="09_EAPと健康判定  UBI / Java / EAPで何を確かめるか"/>
    <hyperlink ref="A13" location="'10_ADOTとCWAgent'!A1" display="10_ADOTとCWAgent  サイドカーの開始・検査・欠損対策"/>
    <hyperlink ref="Y13" location="'11_検査コマンド'!A1" display="11_検査コマンド  コンテナ内で動く検査の具体例"/>
    <hyperlink ref="A14" location="'12_JSON設定例'!A1" display="12_JSON設定例  ECS JSONへ落とし込む"/>
    <hyperlink ref="Y14" location="'13_Terraformと補助'!A1" display="13_Terraformと補助  Terraformとコンテナ内の補助実装"/>
    <hyperlink ref="A15" location="'14_障害と運用'!A1" display="14_障害と運用  稼働中・停止中も同じ構成を点検する"/>
    <hyperlink ref="Y15" location="'15_測定と検証'!A1" display="15_測定と検証  実環境へ当てはめる手順"/>
    <hyperlink ref="A16" location="'16_歴史と背景'!A1" display="16_歴史と背景  なぜ複数の仕組みができたのか"/>
    <hyperlink ref="Y16" location="'17_よくある疑問'!A1" display="17_よくある疑問  設定を決める前の最終確認"/>
    <hyperlink ref="A17" location="'18_出典と適用範囲'!A1" display="18_出典と適用範囲  出典・確認範囲"/>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2.xml><?xml version="1.0" encoding="utf-8"?>
<worksheet xmlns="http://schemas.openxmlformats.org/spreadsheetml/2006/main" xmlns:r="http://schemas.openxmlformats.org/officeDocument/2006/relationships">
  <sheetPr>
    <tabColor rgb="FF777777"/>
    <pageSetUpPr fitToPage="1"/>
  </sheetPr>
  <dimension ref="A1:AV45"/>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62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63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64</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65</v>
      </c>
      <c r="B7" s="7"/>
      <c r="C7" s="7"/>
      <c r="D7" s="7"/>
      <c r="E7" s="7"/>
      <c r="F7" s="7"/>
      <c r="G7" s="7"/>
      <c r="H7" s="7"/>
      <c r="I7" s="7"/>
      <c r="J7" s="7" t="s">
        <v>66</v>
      </c>
      <c r="K7" s="7"/>
      <c r="L7" s="7"/>
      <c r="M7" s="7"/>
      <c r="N7" s="7"/>
      <c r="O7" s="7"/>
      <c r="P7" s="7"/>
      <c r="Q7" s="7"/>
      <c r="R7" s="7"/>
      <c r="S7" s="7"/>
      <c r="T7" s="7"/>
      <c r="U7" s="7"/>
      <c r="V7" s="7"/>
      <c r="W7" s="7"/>
      <c r="X7" s="7" t="s">
        <v>67</v>
      </c>
      <c r="Y7" s="7"/>
      <c r="Z7" s="7"/>
      <c r="AA7" s="7"/>
      <c r="AB7" s="7"/>
      <c r="AC7" s="7"/>
      <c r="AD7" s="7"/>
      <c r="AE7" s="7"/>
      <c r="AF7" s="7"/>
      <c r="AG7" s="7"/>
      <c r="AH7" s="7"/>
      <c r="AI7" s="7"/>
      <c r="AJ7" s="7"/>
      <c r="AK7" s="7"/>
      <c r="AL7" s="7"/>
      <c r="AM7" s="7"/>
      <c r="AN7" s="7"/>
      <c r="AO7" s="7"/>
      <c r="AP7" s="7"/>
      <c r="AQ7" s="7"/>
      <c r="AR7" s="7"/>
      <c r="AS7" s="7"/>
      <c r="AT7" s="7"/>
      <c r="AU7" s="7"/>
      <c r="AV7" s="7"/>
    </row>
    <row r="8" spans="1:48" ht="29" customHeight="1">
      <c r="A8" s="5" t="s">
        <v>68</v>
      </c>
      <c r="B8" s="5"/>
      <c r="C8" s="5"/>
      <c r="D8" s="5"/>
      <c r="E8" s="5"/>
      <c r="F8" s="5"/>
      <c r="G8" s="5"/>
      <c r="H8" s="5"/>
      <c r="I8" s="5"/>
      <c r="J8" s="5" t="s">
        <v>69</v>
      </c>
      <c r="K8" s="5"/>
      <c r="L8" s="5"/>
      <c r="M8" s="5"/>
      <c r="N8" s="5"/>
      <c r="O8" s="5"/>
      <c r="P8" s="5"/>
      <c r="Q8" s="5"/>
      <c r="R8" s="5"/>
      <c r="S8" s="5"/>
      <c r="T8" s="5"/>
      <c r="U8" s="5"/>
      <c r="V8" s="5"/>
      <c r="W8" s="5"/>
      <c r="X8" s="5" t="s">
        <v>70</v>
      </c>
      <c r="Y8" s="5"/>
      <c r="Z8" s="5"/>
      <c r="AA8" s="5"/>
      <c r="AB8" s="5"/>
      <c r="AC8" s="5"/>
      <c r="AD8" s="5"/>
      <c r="AE8" s="5"/>
      <c r="AF8" s="5"/>
      <c r="AG8" s="5"/>
      <c r="AH8" s="5"/>
      <c r="AI8" s="5"/>
      <c r="AJ8" s="5"/>
      <c r="AK8" s="5"/>
      <c r="AL8" s="5"/>
      <c r="AM8" s="5"/>
      <c r="AN8" s="5"/>
      <c r="AO8" s="5"/>
      <c r="AP8" s="5"/>
      <c r="AQ8" s="5"/>
      <c r="AR8" s="5"/>
      <c r="AS8" s="5"/>
      <c r="AT8" s="5"/>
      <c r="AU8" s="5"/>
      <c r="AV8" s="5"/>
    </row>
    <row r="9" spans="1:48" ht="29" customHeight="1">
      <c r="A9" s="8" t="s">
        <v>71</v>
      </c>
      <c r="B9" s="8"/>
      <c r="C9" s="8"/>
      <c r="D9" s="8"/>
      <c r="E9" s="8"/>
      <c r="F9" s="8"/>
      <c r="G9" s="8"/>
      <c r="H9" s="8"/>
      <c r="I9" s="8"/>
      <c r="J9" s="8" t="s">
        <v>72</v>
      </c>
      <c r="K9" s="8"/>
      <c r="L9" s="8"/>
      <c r="M9" s="8"/>
      <c r="N9" s="8"/>
      <c r="O9" s="8"/>
      <c r="P9" s="8"/>
      <c r="Q9" s="8"/>
      <c r="R9" s="8"/>
      <c r="S9" s="8"/>
      <c r="T9" s="8"/>
      <c r="U9" s="8"/>
      <c r="V9" s="8"/>
      <c r="W9" s="8"/>
      <c r="X9" s="8" t="s">
        <v>73</v>
      </c>
      <c r="Y9" s="8"/>
      <c r="Z9" s="8"/>
      <c r="AA9" s="8"/>
      <c r="AB9" s="8"/>
      <c r="AC9" s="8"/>
      <c r="AD9" s="8"/>
      <c r="AE9" s="8"/>
      <c r="AF9" s="8"/>
      <c r="AG9" s="8"/>
      <c r="AH9" s="8"/>
      <c r="AI9" s="8"/>
      <c r="AJ9" s="8"/>
      <c r="AK9" s="8"/>
      <c r="AL9" s="8"/>
      <c r="AM9" s="8"/>
      <c r="AN9" s="8"/>
      <c r="AO9" s="8"/>
      <c r="AP9" s="8"/>
      <c r="AQ9" s="8"/>
      <c r="AR9" s="8"/>
      <c r="AS9" s="8"/>
      <c r="AT9" s="8"/>
      <c r="AU9" s="8"/>
      <c r="AV9" s="8"/>
    </row>
    <row r="10" spans="1:48" ht="29" customHeight="1">
      <c r="A10" s="5" t="s">
        <v>74</v>
      </c>
      <c r="B10" s="5"/>
      <c r="C10" s="5"/>
      <c r="D10" s="5"/>
      <c r="E10" s="5"/>
      <c r="F10" s="5"/>
      <c r="G10" s="5"/>
      <c r="H10" s="5"/>
      <c r="I10" s="5"/>
      <c r="J10" s="5" t="s">
        <v>75</v>
      </c>
      <c r="K10" s="5"/>
      <c r="L10" s="5"/>
      <c r="M10" s="5"/>
      <c r="N10" s="5"/>
      <c r="O10" s="5"/>
      <c r="P10" s="5"/>
      <c r="Q10" s="5"/>
      <c r="R10" s="5"/>
      <c r="S10" s="5"/>
      <c r="T10" s="5"/>
      <c r="U10" s="5"/>
      <c r="V10" s="5"/>
      <c r="W10" s="5"/>
      <c r="X10" s="5" t="s">
        <v>76</v>
      </c>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ht="29" customHeight="1">
      <c r="A11" s="8" t="s">
        <v>77</v>
      </c>
      <c r="B11" s="8"/>
      <c r="C11" s="8"/>
      <c r="D11" s="8"/>
      <c r="E11" s="8"/>
      <c r="F11" s="8"/>
      <c r="G11" s="8"/>
      <c r="H11" s="8"/>
      <c r="I11" s="8"/>
      <c r="J11" s="8" t="s">
        <v>78</v>
      </c>
      <c r="K11" s="8"/>
      <c r="L11" s="8"/>
      <c r="M11" s="8"/>
      <c r="N11" s="8"/>
      <c r="O11" s="8"/>
      <c r="P11" s="8"/>
      <c r="Q11" s="8"/>
      <c r="R11" s="8"/>
      <c r="S11" s="8"/>
      <c r="T11" s="8"/>
      <c r="U11" s="8"/>
      <c r="V11" s="8"/>
      <c r="W11" s="8"/>
      <c r="X11" s="8" t="s">
        <v>79</v>
      </c>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ht="29" customHeight="1">
      <c r="A12" s="5" t="s">
        <v>80</v>
      </c>
      <c r="B12" s="5"/>
      <c r="C12" s="5"/>
      <c r="D12" s="5"/>
      <c r="E12" s="5"/>
      <c r="F12" s="5"/>
      <c r="G12" s="5"/>
      <c r="H12" s="5"/>
      <c r="I12" s="5"/>
      <c r="J12" s="5" t="s">
        <v>81</v>
      </c>
      <c r="K12" s="5"/>
      <c r="L12" s="5"/>
      <c r="M12" s="5"/>
      <c r="N12" s="5"/>
      <c r="O12" s="5"/>
      <c r="P12" s="5"/>
      <c r="Q12" s="5"/>
      <c r="R12" s="5"/>
      <c r="S12" s="5"/>
      <c r="T12" s="5"/>
      <c r="U12" s="5"/>
      <c r="V12" s="5"/>
      <c r="W12" s="5"/>
      <c r="X12" s="5" t="s">
        <v>82</v>
      </c>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29" customHeight="1">
      <c r="A13" s="8" t="s">
        <v>83</v>
      </c>
      <c r="B13" s="8"/>
      <c r="C13" s="8"/>
      <c r="D13" s="8"/>
      <c r="E13" s="8"/>
      <c r="F13" s="8"/>
      <c r="G13" s="8"/>
      <c r="H13" s="8"/>
      <c r="I13" s="8"/>
      <c r="J13" s="8" t="s">
        <v>84</v>
      </c>
      <c r="K13" s="8"/>
      <c r="L13" s="8"/>
      <c r="M13" s="8"/>
      <c r="N13" s="8"/>
      <c r="O13" s="8"/>
      <c r="P13" s="8"/>
      <c r="Q13" s="8"/>
      <c r="R13" s="8"/>
      <c r="S13" s="8"/>
      <c r="T13" s="8"/>
      <c r="U13" s="8"/>
      <c r="V13" s="8"/>
      <c r="W13" s="8"/>
      <c r="X13" s="8" t="s">
        <v>85</v>
      </c>
      <c r="Y13" s="8"/>
      <c r="Z13" s="8"/>
      <c r="AA13" s="8"/>
      <c r="AB13" s="8"/>
      <c r="AC13" s="8"/>
      <c r="AD13" s="8"/>
      <c r="AE13" s="8"/>
      <c r="AF13" s="8"/>
      <c r="AG13" s="8"/>
      <c r="AH13" s="8"/>
      <c r="AI13" s="8"/>
      <c r="AJ13" s="8"/>
      <c r="AK13" s="8"/>
      <c r="AL13" s="8"/>
      <c r="AM13" s="8"/>
      <c r="AN13" s="8"/>
      <c r="AO13" s="8"/>
      <c r="AP13" s="8"/>
      <c r="AQ13" s="8"/>
      <c r="AR13" s="8"/>
      <c r="AS13" s="8"/>
      <c r="AT13" s="8"/>
      <c r="AU13" s="8"/>
      <c r="AV13" s="8"/>
    </row>
    <row r="14" spans="1:48" ht="29" customHeight="1">
      <c r="A14" s="5" t="s">
        <v>86</v>
      </c>
      <c r="B14" s="5"/>
      <c r="C14" s="5"/>
      <c r="D14" s="5"/>
      <c r="E14" s="5"/>
      <c r="F14" s="5"/>
      <c r="G14" s="5"/>
      <c r="H14" s="5"/>
      <c r="I14" s="5"/>
      <c r="J14" s="5" t="s">
        <v>87</v>
      </c>
      <c r="K14" s="5"/>
      <c r="L14" s="5"/>
      <c r="M14" s="5"/>
      <c r="N14" s="5"/>
      <c r="O14" s="5"/>
      <c r="P14" s="5"/>
      <c r="Q14" s="5"/>
      <c r="R14" s="5"/>
      <c r="S14" s="5"/>
      <c r="T14" s="5"/>
      <c r="U14" s="5"/>
      <c r="V14" s="5"/>
      <c r="W14" s="5"/>
      <c r="X14" s="5" t="s">
        <v>88</v>
      </c>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ht="10" customHeight="1"/>
    <row r="16" spans="1:48" ht="29" customHeight="1">
      <c r="A16" s="4" t="s">
        <v>89</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1:48" ht="30" customHeight="1">
      <c r="A17" s="7" t="s">
        <v>90</v>
      </c>
      <c r="B17" s="7"/>
      <c r="C17" s="7"/>
      <c r="D17" s="7"/>
      <c r="E17" s="7"/>
      <c r="F17" s="7"/>
      <c r="G17" s="7"/>
      <c r="H17" s="7"/>
      <c r="I17" s="7" t="s">
        <v>91</v>
      </c>
      <c r="J17" s="7"/>
      <c r="K17" s="7"/>
      <c r="L17" s="7"/>
      <c r="M17" s="7"/>
      <c r="N17" s="7"/>
      <c r="O17" s="7"/>
      <c r="P17" s="7"/>
      <c r="Q17" s="7"/>
      <c r="R17" s="7"/>
      <c r="S17" s="7"/>
      <c r="T17" s="7"/>
      <c r="U17" s="7"/>
      <c r="V17" s="7" t="s">
        <v>92</v>
      </c>
      <c r="W17" s="7"/>
      <c r="X17" s="7"/>
      <c r="Y17" s="7"/>
      <c r="Z17" s="7"/>
      <c r="AA17" s="7"/>
      <c r="AB17" s="7"/>
      <c r="AC17" s="7"/>
      <c r="AD17" s="7"/>
      <c r="AE17" s="7"/>
      <c r="AF17" s="7"/>
      <c r="AG17" s="7"/>
      <c r="AH17" s="7" t="s">
        <v>93</v>
      </c>
      <c r="AI17" s="7"/>
      <c r="AJ17" s="7"/>
      <c r="AK17" s="7"/>
      <c r="AL17" s="7"/>
      <c r="AM17" s="7"/>
      <c r="AN17" s="7"/>
      <c r="AO17" s="7"/>
      <c r="AP17" s="7"/>
      <c r="AQ17" s="7"/>
      <c r="AR17" s="7"/>
      <c r="AS17" s="7"/>
      <c r="AT17" s="7"/>
      <c r="AU17" s="7"/>
      <c r="AV17" s="7"/>
    </row>
    <row r="18" spans="1:48" ht="46" customHeight="1">
      <c r="A18" s="5" t="s">
        <v>94</v>
      </c>
      <c r="B18" s="5"/>
      <c r="C18" s="5"/>
      <c r="D18" s="5"/>
      <c r="E18" s="5"/>
      <c r="F18" s="5"/>
      <c r="G18" s="5"/>
      <c r="H18" s="5"/>
      <c r="I18" s="5" t="s">
        <v>95</v>
      </c>
      <c r="J18" s="5"/>
      <c r="K18" s="5"/>
      <c r="L18" s="5"/>
      <c r="M18" s="5"/>
      <c r="N18" s="5"/>
      <c r="O18" s="5"/>
      <c r="P18" s="5"/>
      <c r="Q18" s="5"/>
      <c r="R18" s="5"/>
      <c r="S18" s="5"/>
      <c r="T18" s="5"/>
      <c r="U18" s="5"/>
      <c r="V18" s="5" t="s">
        <v>96</v>
      </c>
      <c r="W18" s="5"/>
      <c r="X18" s="5"/>
      <c r="Y18" s="5"/>
      <c r="Z18" s="5"/>
      <c r="AA18" s="5"/>
      <c r="AB18" s="5"/>
      <c r="AC18" s="5"/>
      <c r="AD18" s="5"/>
      <c r="AE18" s="5"/>
      <c r="AF18" s="5"/>
      <c r="AG18" s="5"/>
      <c r="AH18" s="5" t="s">
        <v>97</v>
      </c>
      <c r="AI18" s="5"/>
      <c r="AJ18" s="5"/>
      <c r="AK18" s="5"/>
      <c r="AL18" s="5"/>
      <c r="AM18" s="5"/>
      <c r="AN18" s="5"/>
      <c r="AO18" s="5"/>
      <c r="AP18" s="5"/>
      <c r="AQ18" s="5"/>
      <c r="AR18" s="5"/>
      <c r="AS18" s="5"/>
      <c r="AT18" s="5"/>
      <c r="AU18" s="5"/>
      <c r="AV18" s="5"/>
    </row>
    <row r="19" spans="1:48" ht="46" customHeight="1">
      <c r="A19" s="8" t="s">
        <v>98</v>
      </c>
      <c r="B19" s="8"/>
      <c r="C19" s="8"/>
      <c r="D19" s="8"/>
      <c r="E19" s="8"/>
      <c r="F19" s="8"/>
      <c r="G19" s="8"/>
      <c r="H19" s="8"/>
      <c r="I19" s="8" t="s">
        <v>99</v>
      </c>
      <c r="J19" s="8"/>
      <c r="K19" s="8"/>
      <c r="L19" s="8"/>
      <c r="M19" s="8"/>
      <c r="N19" s="8"/>
      <c r="O19" s="8"/>
      <c r="P19" s="8"/>
      <c r="Q19" s="8"/>
      <c r="R19" s="8"/>
      <c r="S19" s="8"/>
      <c r="T19" s="8"/>
      <c r="U19" s="8"/>
      <c r="V19" s="8" t="s">
        <v>100</v>
      </c>
      <c r="W19" s="8"/>
      <c r="X19" s="8"/>
      <c r="Y19" s="8"/>
      <c r="Z19" s="8"/>
      <c r="AA19" s="8"/>
      <c r="AB19" s="8"/>
      <c r="AC19" s="8"/>
      <c r="AD19" s="8"/>
      <c r="AE19" s="8"/>
      <c r="AF19" s="8"/>
      <c r="AG19" s="8"/>
      <c r="AH19" s="8" t="s">
        <v>101</v>
      </c>
      <c r="AI19" s="8"/>
      <c r="AJ19" s="8"/>
      <c r="AK19" s="8"/>
      <c r="AL19" s="8"/>
      <c r="AM19" s="8"/>
      <c r="AN19" s="8"/>
      <c r="AO19" s="8"/>
      <c r="AP19" s="8"/>
      <c r="AQ19" s="8"/>
      <c r="AR19" s="8"/>
      <c r="AS19" s="8"/>
      <c r="AT19" s="8"/>
      <c r="AU19" s="8"/>
      <c r="AV19" s="8"/>
    </row>
    <row r="20" spans="1:48" ht="46" customHeight="1">
      <c r="A20" s="5" t="s">
        <v>102</v>
      </c>
      <c r="B20" s="5"/>
      <c r="C20" s="5"/>
      <c r="D20" s="5"/>
      <c r="E20" s="5"/>
      <c r="F20" s="5"/>
      <c r="G20" s="5"/>
      <c r="H20" s="5"/>
      <c r="I20" s="5" t="s">
        <v>103</v>
      </c>
      <c r="J20" s="5"/>
      <c r="K20" s="5"/>
      <c r="L20" s="5"/>
      <c r="M20" s="5"/>
      <c r="N20" s="5"/>
      <c r="O20" s="5"/>
      <c r="P20" s="5"/>
      <c r="Q20" s="5"/>
      <c r="R20" s="5"/>
      <c r="S20" s="5"/>
      <c r="T20" s="5"/>
      <c r="U20" s="5"/>
      <c r="V20" s="5" t="s">
        <v>104</v>
      </c>
      <c r="W20" s="5"/>
      <c r="X20" s="5"/>
      <c r="Y20" s="5"/>
      <c r="Z20" s="5"/>
      <c r="AA20" s="5"/>
      <c r="AB20" s="5"/>
      <c r="AC20" s="5"/>
      <c r="AD20" s="5"/>
      <c r="AE20" s="5"/>
      <c r="AF20" s="5"/>
      <c r="AG20" s="5"/>
      <c r="AH20" s="5" t="s">
        <v>105</v>
      </c>
      <c r="AI20" s="5"/>
      <c r="AJ20" s="5"/>
      <c r="AK20" s="5"/>
      <c r="AL20" s="5"/>
      <c r="AM20" s="5"/>
      <c r="AN20" s="5"/>
      <c r="AO20" s="5"/>
      <c r="AP20" s="5"/>
      <c r="AQ20" s="5"/>
      <c r="AR20" s="5"/>
      <c r="AS20" s="5"/>
      <c r="AT20" s="5"/>
      <c r="AU20" s="5"/>
      <c r="AV20" s="5"/>
    </row>
    <row r="21" spans="1:48" ht="46" customHeight="1">
      <c r="A21" s="8" t="s">
        <v>106</v>
      </c>
      <c r="B21" s="8"/>
      <c r="C21" s="8"/>
      <c r="D21" s="8"/>
      <c r="E21" s="8"/>
      <c r="F21" s="8"/>
      <c r="G21" s="8"/>
      <c r="H21" s="8"/>
      <c r="I21" s="8" t="s">
        <v>107</v>
      </c>
      <c r="J21" s="8"/>
      <c r="K21" s="8"/>
      <c r="L21" s="8"/>
      <c r="M21" s="8"/>
      <c r="N21" s="8"/>
      <c r="O21" s="8"/>
      <c r="P21" s="8"/>
      <c r="Q21" s="8"/>
      <c r="R21" s="8"/>
      <c r="S21" s="8"/>
      <c r="T21" s="8"/>
      <c r="U21" s="8"/>
      <c r="V21" s="8" t="s">
        <v>108</v>
      </c>
      <c r="W21" s="8"/>
      <c r="X21" s="8"/>
      <c r="Y21" s="8"/>
      <c r="Z21" s="8"/>
      <c r="AA21" s="8"/>
      <c r="AB21" s="8"/>
      <c r="AC21" s="8"/>
      <c r="AD21" s="8"/>
      <c r="AE21" s="8"/>
      <c r="AF21" s="8"/>
      <c r="AG21" s="8"/>
      <c r="AH21" s="8" t="s">
        <v>109</v>
      </c>
      <c r="AI21" s="8"/>
      <c r="AJ21" s="8"/>
      <c r="AK21" s="8"/>
      <c r="AL21" s="8"/>
      <c r="AM21" s="8"/>
      <c r="AN21" s="8"/>
      <c r="AO21" s="8"/>
      <c r="AP21" s="8"/>
      <c r="AQ21" s="8"/>
      <c r="AR21" s="8"/>
      <c r="AS21" s="8"/>
      <c r="AT21" s="8"/>
      <c r="AU21" s="8"/>
      <c r="AV21" s="8"/>
    </row>
    <row r="22" spans="1:48" ht="21" customHeight="1">
      <c r="A22" s="9" t="s">
        <v>110</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row>
    <row r="23" spans="1:48" ht="10" customHeight="1"/>
    <row r="24" spans="1:48" ht="63" customHeight="1">
      <c r="A24" s="6" t="s">
        <v>111</v>
      </c>
      <c r="B24" s="6"/>
      <c r="C24" s="6"/>
      <c r="D24" s="6"/>
      <c r="E24" s="6"/>
      <c r="F24" s="6"/>
      <c r="G24" s="6"/>
      <c r="H24" s="6"/>
      <c r="I24" s="6"/>
      <c r="J24" s="6"/>
      <c r="K24" s="5" t="s">
        <v>112</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21" customHeight="1">
      <c r="A25" s="9" t="s">
        <v>113</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row>
    <row r="26" spans="1:48" ht="8" customHeight="1"/>
    <row r="27" spans="1:48" ht="63" customHeight="1">
      <c r="A27" s="6" t="s">
        <v>114</v>
      </c>
      <c r="B27" s="6"/>
      <c r="C27" s="6"/>
      <c r="D27" s="6"/>
      <c r="E27" s="6"/>
      <c r="F27" s="6"/>
      <c r="G27" s="6"/>
      <c r="H27" s="6"/>
      <c r="I27" s="6"/>
      <c r="J27" s="6"/>
      <c r="K27" s="5" t="s">
        <v>115</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ht="21" customHeight="1">
      <c r="A28" s="9" t="s">
        <v>116</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row>
    <row r="29" spans="1:48" ht="8" customHeight="1"/>
    <row r="30" spans="1:48" ht="46" customHeight="1">
      <c r="A30" s="6" t="s">
        <v>117</v>
      </c>
      <c r="B30" s="6"/>
      <c r="C30" s="6"/>
      <c r="D30" s="6"/>
      <c r="E30" s="6"/>
      <c r="F30" s="6"/>
      <c r="G30" s="6"/>
      <c r="H30" s="6"/>
      <c r="I30" s="6"/>
      <c r="J30" s="6"/>
      <c r="K30" s="5" t="s">
        <v>118</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ht="21" customHeight="1">
      <c r="A31" s="9" t="s">
        <v>119</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row>
    <row r="32" spans="1:48" ht="8" customHeight="1"/>
    <row r="33" spans="1:48" ht="63" customHeight="1">
      <c r="A33" s="6" t="s">
        <v>120</v>
      </c>
      <c r="B33" s="6"/>
      <c r="C33" s="6"/>
      <c r="D33" s="6"/>
      <c r="E33" s="6"/>
      <c r="F33" s="6"/>
      <c r="G33" s="6"/>
      <c r="H33" s="6"/>
      <c r="I33" s="6"/>
      <c r="J33" s="6"/>
      <c r="K33" s="5" t="s">
        <v>121</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ht="21" customHeight="1">
      <c r="A34" s="9" t="s">
        <v>122</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row>
    <row r="35" spans="1:48" ht="8" customHeight="1"/>
    <row r="36" spans="1:48" ht="29" customHeight="1">
      <c r="A36" s="4" t="s">
        <v>123</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ht="19" customHeight="1">
      <c r="A37" s="10" t="s">
        <v>124</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row>
    <row r="38" spans="1:48" ht="19" customHeight="1">
      <c r="A38" s="10" t="s">
        <v>125</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row>
    <row r="39" spans="1:48" ht="19" customHeight="1">
      <c r="A39" s="10" t="s">
        <v>126</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row>
    <row r="40" spans="1:48" ht="19" customHeight="1">
      <c r="A40" s="10" t="s">
        <v>127</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row>
    <row r="41" spans="1:48" ht="19" customHeight="1">
      <c r="A41" s="10" t="s">
        <v>128</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row>
    <row r="42" spans="1:48" ht="19" customHeight="1">
      <c r="A42" s="10" t="s">
        <v>129</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row>
    <row r="43" spans="1:48" ht="19" customHeight="1">
      <c r="A43" s="10" t="s">
        <v>130</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row>
    <row r="44" spans="1:48" ht="21" customHeight="1">
      <c r="A44" s="9" t="s">
        <v>131</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row>
    <row r="45" spans="1:48" ht="9" customHeight="1"/>
  </sheetData>
  <mergeCells count="73">
    <mergeCell ref="A1:AV1"/>
    <mergeCell ref="A2:AV2"/>
    <mergeCell ref="A3:AV3"/>
    <mergeCell ref="A4:X4"/>
    <mergeCell ref="Y4:AV4"/>
    <mergeCell ref="A6:AV6"/>
    <mergeCell ref="A7:I7"/>
    <mergeCell ref="J7:W7"/>
    <mergeCell ref="X7:AV7"/>
    <mergeCell ref="A8:I8"/>
    <mergeCell ref="J8:W8"/>
    <mergeCell ref="X8:AV8"/>
    <mergeCell ref="A9:I9"/>
    <mergeCell ref="J9:W9"/>
    <mergeCell ref="X9:AV9"/>
    <mergeCell ref="A10:I10"/>
    <mergeCell ref="J10:W10"/>
    <mergeCell ref="X10:AV10"/>
    <mergeCell ref="A11:I11"/>
    <mergeCell ref="J11:W11"/>
    <mergeCell ref="X11:AV11"/>
    <mergeCell ref="A12:I12"/>
    <mergeCell ref="J12:W12"/>
    <mergeCell ref="X12:AV12"/>
    <mergeCell ref="A13:I13"/>
    <mergeCell ref="J13:W13"/>
    <mergeCell ref="X13:AV13"/>
    <mergeCell ref="A14:I14"/>
    <mergeCell ref="J14:W14"/>
    <mergeCell ref="X14:AV14"/>
    <mergeCell ref="A16:AV16"/>
    <mergeCell ref="A17:H17"/>
    <mergeCell ref="I17:U17"/>
    <mergeCell ref="V17:AG17"/>
    <mergeCell ref="AH17:AV17"/>
    <mergeCell ref="A18:H18"/>
    <mergeCell ref="I18:U18"/>
    <mergeCell ref="V18:AG18"/>
    <mergeCell ref="AH18:AV18"/>
    <mergeCell ref="A19:H19"/>
    <mergeCell ref="I19:U19"/>
    <mergeCell ref="V19:AG19"/>
    <mergeCell ref="AH19:AV19"/>
    <mergeCell ref="A20:H20"/>
    <mergeCell ref="I20:U20"/>
    <mergeCell ref="V20:AG20"/>
    <mergeCell ref="AH20:AV20"/>
    <mergeCell ref="A21:H21"/>
    <mergeCell ref="I21:U21"/>
    <mergeCell ref="V21:AG21"/>
    <mergeCell ref="AH21:AV21"/>
    <mergeCell ref="A22:AV22"/>
    <mergeCell ref="A24:J24"/>
    <mergeCell ref="K24:AV24"/>
    <mergeCell ref="A25:AV25"/>
    <mergeCell ref="A27:J27"/>
    <mergeCell ref="K27:AV27"/>
    <mergeCell ref="A28:AV28"/>
    <mergeCell ref="A30:J30"/>
    <mergeCell ref="K30:AV30"/>
    <mergeCell ref="A31:AV31"/>
    <mergeCell ref="A33:J33"/>
    <mergeCell ref="K33:AV33"/>
    <mergeCell ref="A34:AV34"/>
    <mergeCell ref="A36:AV36"/>
    <mergeCell ref="A37:AV37"/>
    <mergeCell ref="A38:AV38"/>
    <mergeCell ref="A39:AV39"/>
    <mergeCell ref="A40:AV40"/>
    <mergeCell ref="A41:AV41"/>
    <mergeCell ref="A42:AV42"/>
    <mergeCell ref="A43:AV43"/>
    <mergeCell ref="A44:AV44"/>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3.xml><?xml version="1.0" encoding="utf-8"?>
<worksheet xmlns="http://schemas.openxmlformats.org/spreadsheetml/2006/main" xmlns:r="http://schemas.openxmlformats.org/officeDocument/2006/relationships">
  <sheetPr>
    <tabColor rgb="FF777777"/>
    <pageSetUpPr fitToPage="1"/>
  </sheetPr>
  <dimension ref="A1:AV30"/>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133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134</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135</v>
      </c>
      <c r="B7" s="7"/>
      <c r="C7" s="7"/>
      <c r="D7" s="7"/>
      <c r="E7" s="7"/>
      <c r="F7" s="7"/>
      <c r="G7" s="7"/>
      <c r="H7" s="7"/>
      <c r="I7" s="7"/>
      <c r="J7" s="7" t="s">
        <v>136</v>
      </c>
      <c r="K7" s="7"/>
      <c r="L7" s="7"/>
      <c r="M7" s="7"/>
      <c r="N7" s="7"/>
      <c r="O7" s="7"/>
      <c r="P7" s="7"/>
      <c r="Q7" s="7"/>
      <c r="R7" s="7"/>
      <c r="S7" s="7"/>
      <c r="T7" s="7"/>
      <c r="U7" s="7"/>
      <c r="V7" s="7"/>
      <c r="W7" s="7"/>
      <c r="X7" s="7"/>
      <c r="Y7" s="7"/>
      <c r="Z7" s="7"/>
      <c r="AA7" s="7"/>
      <c r="AB7" s="7"/>
      <c r="AC7" s="7" t="s">
        <v>137</v>
      </c>
      <c r="AD7" s="7"/>
      <c r="AE7" s="7"/>
      <c r="AF7" s="7"/>
      <c r="AG7" s="7"/>
      <c r="AH7" s="7"/>
      <c r="AI7" s="7"/>
      <c r="AJ7" s="7"/>
      <c r="AK7" s="7"/>
      <c r="AL7" s="7"/>
      <c r="AM7" s="7"/>
      <c r="AN7" s="7"/>
      <c r="AO7" s="7"/>
      <c r="AP7" s="7"/>
      <c r="AQ7" s="7"/>
      <c r="AR7" s="7"/>
      <c r="AS7" s="7"/>
      <c r="AT7" s="7"/>
      <c r="AU7" s="7"/>
      <c r="AV7" s="7"/>
    </row>
    <row r="8" spans="1:48" ht="29" customHeight="1">
      <c r="A8" s="5" t="s">
        <v>138</v>
      </c>
      <c r="B8" s="5"/>
      <c r="C8" s="5"/>
      <c r="D8" s="5"/>
      <c r="E8" s="5"/>
      <c r="F8" s="5"/>
      <c r="G8" s="5"/>
      <c r="H8" s="5"/>
      <c r="I8" s="5"/>
      <c r="J8" s="5" t="s">
        <v>139</v>
      </c>
      <c r="K8" s="5"/>
      <c r="L8" s="5"/>
      <c r="M8" s="5"/>
      <c r="N8" s="5"/>
      <c r="O8" s="5"/>
      <c r="P8" s="5"/>
      <c r="Q8" s="5"/>
      <c r="R8" s="5"/>
      <c r="S8" s="5"/>
      <c r="T8" s="5"/>
      <c r="U8" s="5"/>
      <c r="V8" s="5"/>
      <c r="W8" s="5"/>
      <c r="X8" s="5"/>
      <c r="Y8" s="5"/>
      <c r="Z8" s="5"/>
      <c r="AA8" s="5"/>
      <c r="AB8" s="5"/>
      <c r="AC8" s="5" t="s">
        <v>140</v>
      </c>
      <c r="AD8" s="5"/>
      <c r="AE8" s="5"/>
      <c r="AF8" s="5"/>
      <c r="AG8" s="5"/>
      <c r="AH8" s="5"/>
      <c r="AI8" s="5"/>
      <c r="AJ8" s="5"/>
      <c r="AK8" s="5"/>
      <c r="AL8" s="5"/>
      <c r="AM8" s="5"/>
      <c r="AN8" s="5"/>
      <c r="AO8" s="5"/>
      <c r="AP8" s="5"/>
      <c r="AQ8" s="5"/>
      <c r="AR8" s="5"/>
      <c r="AS8" s="5"/>
      <c r="AT8" s="5"/>
      <c r="AU8" s="5"/>
      <c r="AV8" s="5"/>
    </row>
    <row r="9" spans="1:48" ht="29" customHeight="1">
      <c r="A9" s="8" t="s">
        <v>141</v>
      </c>
      <c r="B9" s="8"/>
      <c r="C9" s="8"/>
      <c r="D9" s="8"/>
      <c r="E9" s="8"/>
      <c r="F9" s="8"/>
      <c r="G9" s="8"/>
      <c r="H9" s="8"/>
      <c r="I9" s="8"/>
      <c r="J9" s="8" t="s">
        <v>142</v>
      </c>
      <c r="K9" s="8"/>
      <c r="L9" s="8"/>
      <c r="M9" s="8"/>
      <c r="N9" s="8"/>
      <c r="O9" s="8"/>
      <c r="P9" s="8"/>
      <c r="Q9" s="8"/>
      <c r="R9" s="8"/>
      <c r="S9" s="8"/>
      <c r="T9" s="8"/>
      <c r="U9" s="8"/>
      <c r="V9" s="8"/>
      <c r="W9" s="8"/>
      <c r="X9" s="8"/>
      <c r="Y9" s="8"/>
      <c r="Z9" s="8"/>
      <c r="AA9" s="8"/>
      <c r="AB9" s="8"/>
      <c r="AC9" s="8" t="s">
        <v>143</v>
      </c>
      <c r="AD9" s="8"/>
      <c r="AE9" s="8"/>
      <c r="AF9" s="8"/>
      <c r="AG9" s="8"/>
      <c r="AH9" s="8"/>
      <c r="AI9" s="8"/>
      <c r="AJ9" s="8"/>
      <c r="AK9" s="8"/>
      <c r="AL9" s="8"/>
      <c r="AM9" s="8"/>
      <c r="AN9" s="8"/>
      <c r="AO9" s="8"/>
      <c r="AP9" s="8"/>
      <c r="AQ9" s="8"/>
      <c r="AR9" s="8"/>
      <c r="AS9" s="8"/>
      <c r="AT9" s="8"/>
      <c r="AU9" s="8"/>
      <c r="AV9" s="8"/>
    </row>
    <row r="10" spans="1:48" ht="29" customHeight="1">
      <c r="A10" s="5" t="s">
        <v>144</v>
      </c>
      <c r="B10" s="5"/>
      <c r="C10" s="5"/>
      <c r="D10" s="5"/>
      <c r="E10" s="5"/>
      <c r="F10" s="5"/>
      <c r="G10" s="5"/>
      <c r="H10" s="5"/>
      <c r="I10" s="5"/>
      <c r="J10" s="5" t="s">
        <v>145</v>
      </c>
      <c r="K10" s="5"/>
      <c r="L10" s="5"/>
      <c r="M10" s="5"/>
      <c r="N10" s="5"/>
      <c r="O10" s="5"/>
      <c r="P10" s="5"/>
      <c r="Q10" s="5"/>
      <c r="R10" s="5"/>
      <c r="S10" s="5"/>
      <c r="T10" s="5"/>
      <c r="U10" s="5"/>
      <c r="V10" s="5"/>
      <c r="W10" s="5"/>
      <c r="X10" s="5"/>
      <c r="Y10" s="5"/>
      <c r="Z10" s="5"/>
      <c r="AA10" s="5"/>
      <c r="AB10" s="5"/>
      <c r="AC10" s="5" t="s">
        <v>146</v>
      </c>
      <c r="AD10" s="5"/>
      <c r="AE10" s="5"/>
      <c r="AF10" s="5"/>
      <c r="AG10" s="5"/>
      <c r="AH10" s="5"/>
      <c r="AI10" s="5"/>
      <c r="AJ10" s="5"/>
      <c r="AK10" s="5"/>
      <c r="AL10" s="5"/>
      <c r="AM10" s="5"/>
      <c r="AN10" s="5"/>
      <c r="AO10" s="5"/>
      <c r="AP10" s="5"/>
      <c r="AQ10" s="5"/>
      <c r="AR10" s="5"/>
      <c r="AS10" s="5"/>
      <c r="AT10" s="5"/>
      <c r="AU10" s="5"/>
      <c r="AV10" s="5"/>
    </row>
    <row r="11" spans="1:48" ht="29" customHeight="1">
      <c r="A11" s="8" t="s">
        <v>147</v>
      </c>
      <c r="B11" s="8"/>
      <c r="C11" s="8"/>
      <c r="D11" s="8"/>
      <c r="E11" s="8"/>
      <c r="F11" s="8"/>
      <c r="G11" s="8"/>
      <c r="H11" s="8"/>
      <c r="I11" s="8"/>
      <c r="J11" s="8" t="s">
        <v>148</v>
      </c>
      <c r="K11" s="8"/>
      <c r="L11" s="8"/>
      <c r="M11" s="8"/>
      <c r="N11" s="8"/>
      <c r="O11" s="8"/>
      <c r="P11" s="8"/>
      <c r="Q11" s="8"/>
      <c r="R11" s="8"/>
      <c r="S11" s="8"/>
      <c r="T11" s="8"/>
      <c r="U11" s="8"/>
      <c r="V11" s="8"/>
      <c r="W11" s="8"/>
      <c r="X11" s="8"/>
      <c r="Y11" s="8"/>
      <c r="Z11" s="8"/>
      <c r="AA11" s="8"/>
      <c r="AB11" s="8"/>
      <c r="AC11" s="8" t="s">
        <v>149</v>
      </c>
      <c r="AD11" s="8"/>
      <c r="AE11" s="8"/>
      <c r="AF11" s="8"/>
      <c r="AG11" s="8"/>
      <c r="AH11" s="8"/>
      <c r="AI11" s="8"/>
      <c r="AJ11" s="8"/>
      <c r="AK11" s="8"/>
      <c r="AL11" s="8"/>
      <c r="AM11" s="8"/>
      <c r="AN11" s="8"/>
      <c r="AO11" s="8"/>
      <c r="AP11" s="8"/>
      <c r="AQ11" s="8"/>
      <c r="AR11" s="8"/>
      <c r="AS11" s="8"/>
      <c r="AT11" s="8"/>
      <c r="AU11" s="8"/>
      <c r="AV11" s="8"/>
    </row>
    <row r="12" spans="1:48" ht="29" customHeight="1">
      <c r="A12" s="5" t="s">
        <v>150</v>
      </c>
      <c r="B12" s="5"/>
      <c r="C12" s="5"/>
      <c r="D12" s="5"/>
      <c r="E12" s="5"/>
      <c r="F12" s="5"/>
      <c r="G12" s="5"/>
      <c r="H12" s="5"/>
      <c r="I12" s="5"/>
      <c r="J12" s="5" t="s">
        <v>151</v>
      </c>
      <c r="K12" s="5"/>
      <c r="L12" s="5"/>
      <c r="M12" s="5"/>
      <c r="N12" s="5"/>
      <c r="O12" s="5"/>
      <c r="P12" s="5"/>
      <c r="Q12" s="5"/>
      <c r="R12" s="5"/>
      <c r="S12" s="5"/>
      <c r="T12" s="5"/>
      <c r="U12" s="5"/>
      <c r="V12" s="5"/>
      <c r="W12" s="5"/>
      <c r="X12" s="5"/>
      <c r="Y12" s="5"/>
      <c r="Z12" s="5"/>
      <c r="AA12" s="5"/>
      <c r="AB12" s="5"/>
      <c r="AC12" s="5" t="s">
        <v>152</v>
      </c>
      <c r="AD12" s="5"/>
      <c r="AE12" s="5"/>
      <c r="AF12" s="5"/>
      <c r="AG12" s="5"/>
      <c r="AH12" s="5"/>
      <c r="AI12" s="5"/>
      <c r="AJ12" s="5"/>
      <c r="AK12" s="5"/>
      <c r="AL12" s="5"/>
      <c r="AM12" s="5"/>
      <c r="AN12" s="5"/>
      <c r="AO12" s="5"/>
      <c r="AP12" s="5"/>
      <c r="AQ12" s="5"/>
      <c r="AR12" s="5"/>
      <c r="AS12" s="5"/>
      <c r="AT12" s="5"/>
      <c r="AU12" s="5"/>
      <c r="AV12" s="5"/>
    </row>
    <row r="13" spans="1:48" ht="29" customHeight="1">
      <c r="A13" s="8" t="s">
        <v>153</v>
      </c>
      <c r="B13" s="8"/>
      <c r="C13" s="8"/>
      <c r="D13" s="8"/>
      <c r="E13" s="8"/>
      <c r="F13" s="8"/>
      <c r="G13" s="8"/>
      <c r="H13" s="8"/>
      <c r="I13" s="8"/>
      <c r="J13" s="8" t="s">
        <v>154</v>
      </c>
      <c r="K13" s="8"/>
      <c r="L13" s="8"/>
      <c r="M13" s="8"/>
      <c r="N13" s="8"/>
      <c r="O13" s="8"/>
      <c r="P13" s="8"/>
      <c r="Q13" s="8"/>
      <c r="R13" s="8"/>
      <c r="S13" s="8"/>
      <c r="T13" s="8"/>
      <c r="U13" s="8"/>
      <c r="V13" s="8"/>
      <c r="W13" s="8"/>
      <c r="X13" s="8"/>
      <c r="Y13" s="8"/>
      <c r="Z13" s="8"/>
      <c r="AA13" s="8"/>
      <c r="AB13" s="8"/>
      <c r="AC13" s="8" t="s">
        <v>155</v>
      </c>
      <c r="AD13" s="8"/>
      <c r="AE13" s="8"/>
      <c r="AF13" s="8"/>
      <c r="AG13" s="8"/>
      <c r="AH13" s="8"/>
      <c r="AI13" s="8"/>
      <c r="AJ13" s="8"/>
      <c r="AK13" s="8"/>
      <c r="AL13" s="8"/>
      <c r="AM13" s="8"/>
      <c r="AN13" s="8"/>
      <c r="AO13" s="8"/>
      <c r="AP13" s="8"/>
      <c r="AQ13" s="8"/>
      <c r="AR13" s="8"/>
      <c r="AS13" s="8"/>
      <c r="AT13" s="8"/>
      <c r="AU13" s="8"/>
      <c r="AV13" s="8"/>
    </row>
    <row r="14" spans="1:48" ht="29" customHeight="1">
      <c r="A14" s="5" t="s">
        <v>156</v>
      </c>
      <c r="B14" s="5"/>
      <c r="C14" s="5"/>
      <c r="D14" s="5"/>
      <c r="E14" s="5"/>
      <c r="F14" s="5"/>
      <c r="G14" s="5"/>
      <c r="H14" s="5"/>
      <c r="I14" s="5"/>
      <c r="J14" s="5" t="s">
        <v>157</v>
      </c>
      <c r="K14" s="5"/>
      <c r="L14" s="5"/>
      <c r="M14" s="5"/>
      <c r="N14" s="5"/>
      <c r="O14" s="5"/>
      <c r="P14" s="5"/>
      <c r="Q14" s="5"/>
      <c r="R14" s="5"/>
      <c r="S14" s="5"/>
      <c r="T14" s="5"/>
      <c r="U14" s="5"/>
      <c r="V14" s="5"/>
      <c r="W14" s="5"/>
      <c r="X14" s="5"/>
      <c r="Y14" s="5"/>
      <c r="Z14" s="5"/>
      <c r="AA14" s="5"/>
      <c r="AB14" s="5"/>
      <c r="AC14" s="5" t="s">
        <v>158</v>
      </c>
      <c r="AD14" s="5"/>
      <c r="AE14" s="5"/>
      <c r="AF14" s="5"/>
      <c r="AG14" s="5"/>
      <c r="AH14" s="5"/>
      <c r="AI14" s="5"/>
      <c r="AJ14" s="5"/>
      <c r="AK14" s="5"/>
      <c r="AL14" s="5"/>
      <c r="AM14" s="5"/>
      <c r="AN14" s="5"/>
      <c r="AO14" s="5"/>
      <c r="AP14" s="5"/>
      <c r="AQ14" s="5"/>
      <c r="AR14" s="5"/>
      <c r="AS14" s="5"/>
      <c r="AT14" s="5"/>
      <c r="AU14" s="5"/>
      <c r="AV14" s="5"/>
    </row>
    <row r="15" spans="1:48" ht="29" customHeight="1">
      <c r="A15" s="8" t="s">
        <v>159</v>
      </c>
      <c r="B15" s="8"/>
      <c r="C15" s="8"/>
      <c r="D15" s="8"/>
      <c r="E15" s="8"/>
      <c r="F15" s="8"/>
      <c r="G15" s="8"/>
      <c r="H15" s="8"/>
      <c r="I15" s="8"/>
      <c r="J15" s="8" t="s">
        <v>160</v>
      </c>
      <c r="K15" s="8"/>
      <c r="L15" s="8"/>
      <c r="M15" s="8"/>
      <c r="N15" s="8"/>
      <c r="O15" s="8"/>
      <c r="P15" s="8"/>
      <c r="Q15" s="8"/>
      <c r="R15" s="8"/>
      <c r="S15" s="8"/>
      <c r="T15" s="8"/>
      <c r="U15" s="8"/>
      <c r="V15" s="8"/>
      <c r="W15" s="8"/>
      <c r="X15" s="8"/>
      <c r="Y15" s="8"/>
      <c r="Z15" s="8"/>
      <c r="AA15" s="8"/>
      <c r="AB15" s="8"/>
      <c r="AC15" s="8" t="s">
        <v>161</v>
      </c>
      <c r="AD15" s="8"/>
      <c r="AE15" s="8"/>
      <c r="AF15" s="8"/>
      <c r="AG15" s="8"/>
      <c r="AH15" s="8"/>
      <c r="AI15" s="8"/>
      <c r="AJ15" s="8"/>
      <c r="AK15" s="8"/>
      <c r="AL15" s="8"/>
      <c r="AM15" s="8"/>
      <c r="AN15" s="8"/>
      <c r="AO15" s="8"/>
      <c r="AP15" s="8"/>
      <c r="AQ15" s="8"/>
      <c r="AR15" s="8"/>
      <c r="AS15" s="8"/>
      <c r="AT15" s="8"/>
      <c r="AU15" s="8"/>
      <c r="AV15" s="8"/>
    </row>
    <row r="16" spans="1:48" ht="29" customHeight="1">
      <c r="A16" s="5" t="s">
        <v>162</v>
      </c>
      <c r="B16" s="5"/>
      <c r="C16" s="5"/>
      <c r="D16" s="5"/>
      <c r="E16" s="5"/>
      <c r="F16" s="5"/>
      <c r="G16" s="5"/>
      <c r="H16" s="5"/>
      <c r="I16" s="5"/>
      <c r="J16" s="5" t="s">
        <v>163</v>
      </c>
      <c r="K16" s="5"/>
      <c r="L16" s="5"/>
      <c r="M16" s="5"/>
      <c r="N16" s="5"/>
      <c r="O16" s="5"/>
      <c r="P16" s="5"/>
      <c r="Q16" s="5"/>
      <c r="R16" s="5"/>
      <c r="S16" s="5"/>
      <c r="T16" s="5"/>
      <c r="U16" s="5"/>
      <c r="V16" s="5"/>
      <c r="W16" s="5"/>
      <c r="X16" s="5"/>
      <c r="Y16" s="5"/>
      <c r="Z16" s="5"/>
      <c r="AA16" s="5"/>
      <c r="AB16" s="5"/>
      <c r="AC16" s="5" t="s">
        <v>164</v>
      </c>
      <c r="AD16" s="5"/>
      <c r="AE16" s="5"/>
      <c r="AF16" s="5"/>
      <c r="AG16" s="5"/>
      <c r="AH16" s="5"/>
      <c r="AI16" s="5"/>
      <c r="AJ16" s="5"/>
      <c r="AK16" s="5"/>
      <c r="AL16" s="5"/>
      <c r="AM16" s="5"/>
      <c r="AN16" s="5"/>
      <c r="AO16" s="5"/>
      <c r="AP16" s="5"/>
      <c r="AQ16" s="5"/>
      <c r="AR16" s="5"/>
      <c r="AS16" s="5"/>
      <c r="AT16" s="5"/>
      <c r="AU16" s="5"/>
      <c r="AV16" s="5"/>
    </row>
    <row r="17" spans="1:48" ht="29" customHeight="1">
      <c r="A17" s="8" t="s">
        <v>165</v>
      </c>
      <c r="B17" s="8"/>
      <c r="C17" s="8"/>
      <c r="D17" s="8"/>
      <c r="E17" s="8"/>
      <c r="F17" s="8"/>
      <c r="G17" s="8"/>
      <c r="H17" s="8"/>
      <c r="I17" s="8"/>
      <c r="J17" s="8" t="s">
        <v>166</v>
      </c>
      <c r="K17" s="8"/>
      <c r="L17" s="8"/>
      <c r="M17" s="8"/>
      <c r="N17" s="8"/>
      <c r="O17" s="8"/>
      <c r="P17" s="8"/>
      <c r="Q17" s="8"/>
      <c r="R17" s="8"/>
      <c r="S17" s="8"/>
      <c r="T17" s="8"/>
      <c r="U17" s="8"/>
      <c r="V17" s="8"/>
      <c r="W17" s="8"/>
      <c r="X17" s="8"/>
      <c r="Y17" s="8"/>
      <c r="Z17" s="8"/>
      <c r="AA17" s="8"/>
      <c r="AB17" s="8"/>
      <c r="AC17" s="8" t="s">
        <v>167</v>
      </c>
      <c r="AD17" s="8"/>
      <c r="AE17" s="8"/>
      <c r="AF17" s="8"/>
      <c r="AG17" s="8"/>
      <c r="AH17" s="8"/>
      <c r="AI17" s="8"/>
      <c r="AJ17" s="8"/>
      <c r="AK17" s="8"/>
      <c r="AL17" s="8"/>
      <c r="AM17" s="8"/>
      <c r="AN17" s="8"/>
      <c r="AO17" s="8"/>
      <c r="AP17" s="8"/>
      <c r="AQ17" s="8"/>
      <c r="AR17" s="8"/>
      <c r="AS17" s="8"/>
      <c r="AT17" s="8"/>
      <c r="AU17" s="8"/>
      <c r="AV17" s="8"/>
    </row>
    <row r="18" spans="1:48" ht="29" customHeight="1">
      <c r="A18" s="5" t="s">
        <v>168</v>
      </c>
      <c r="B18" s="5"/>
      <c r="C18" s="5"/>
      <c r="D18" s="5"/>
      <c r="E18" s="5"/>
      <c r="F18" s="5"/>
      <c r="G18" s="5"/>
      <c r="H18" s="5"/>
      <c r="I18" s="5"/>
      <c r="J18" s="5" t="s">
        <v>169</v>
      </c>
      <c r="K18" s="5"/>
      <c r="L18" s="5"/>
      <c r="M18" s="5"/>
      <c r="N18" s="5"/>
      <c r="O18" s="5"/>
      <c r="P18" s="5"/>
      <c r="Q18" s="5"/>
      <c r="R18" s="5"/>
      <c r="S18" s="5"/>
      <c r="T18" s="5"/>
      <c r="U18" s="5"/>
      <c r="V18" s="5"/>
      <c r="W18" s="5"/>
      <c r="X18" s="5"/>
      <c r="Y18" s="5"/>
      <c r="Z18" s="5"/>
      <c r="AA18" s="5"/>
      <c r="AB18" s="5"/>
      <c r="AC18" s="5" t="s">
        <v>170</v>
      </c>
      <c r="AD18" s="5"/>
      <c r="AE18" s="5"/>
      <c r="AF18" s="5"/>
      <c r="AG18" s="5"/>
      <c r="AH18" s="5"/>
      <c r="AI18" s="5"/>
      <c r="AJ18" s="5"/>
      <c r="AK18" s="5"/>
      <c r="AL18" s="5"/>
      <c r="AM18" s="5"/>
      <c r="AN18" s="5"/>
      <c r="AO18" s="5"/>
      <c r="AP18" s="5"/>
      <c r="AQ18" s="5"/>
      <c r="AR18" s="5"/>
      <c r="AS18" s="5"/>
      <c r="AT18" s="5"/>
      <c r="AU18" s="5"/>
      <c r="AV18" s="5"/>
    </row>
    <row r="19" spans="1:48" ht="29" customHeight="1">
      <c r="A19" s="8" t="s">
        <v>171</v>
      </c>
      <c r="B19" s="8"/>
      <c r="C19" s="8"/>
      <c r="D19" s="8"/>
      <c r="E19" s="8"/>
      <c r="F19" s="8"/>
      <c r="G19" s="8"/>
      <c r="H19" s="8"/>
      <c r="I19" s="8"/>
      <c r="J19" s="8" t="s">
        <v>172</v>
      </c>
      <c r="K19" s="8"/>
      <c r="L19" s="8"/>
      <c r="M19" s="8"/>
      <c r="N19" s="8"/>
      <c r="O19" s="8"/>
      <c r="P19" s="8"/>
      <c r="Q19" s="8"/>
      <c r="R19" s="8"/>
      <c r="S19" s="8"/>
      <c r="T19" s="8"/>
      <c r="U19" s="8"/>
      <c r="V19" s="8"/>
      <c r="W19" s="8"/>
      <c r="X19" s="8"/>
      <c r="Y19" s="8"/>
      <c r="Z19" s="8"/>
      <c r="AA19" s="8"/>
      <c r="AB19" s="8"/>
      <c r="AC19" s="8" t="s">
        <v>173</v>
      </c>
      <c r="AD19" s="8"/>
      <c r="AE19" s="8"/>
      <c r="AF19" s="8"/>
      <c r="AG19" s="8"/>
      <c r="AH19" s="8"/>
      <c r="AI19" s="8"/>
      <c r="AJ19" s="8"/>
      <c r="AK19" s="8"/>
      <c r="AL19" s="8"/>
      <c r="AM19" s="8"/>
      <c r="AN19" s="8"/>
      <c r="AO19" s="8"/>
      <c r="AP19" s="8"/>
      <c r="AQ19" s="8"/>
      <c r="AR19" s="8"/>
      <c r="AS19" s="8"/>
      <c r="AT19" s="8"/>
      <c r="AU19" s="8"/>
      <c r="AV19" s="8"/>
    </row>
    <row r="20" spans="1:48" ht="29" customHeight="1">
      <c r="A20" s="5" t="s">
        <v>174</v>
      </c>
      <c r="B20" s="5"/>
      <c r="C20" s="5"/>
      <c r="D20" s="5"/>
      <c r="E20" s="5"/>
      <c r="F20" s="5"/>
      <c r="G20" s="5"/>
      <c r="H20" s="5"/>
      <c r="I20" s="5"/>
      <c r="J20" s="5" t="s">
        <v>175</v>
      </c>
      <c r="K20" s="5"/>
      <c r="L20" s="5"/>
      <c r="M20" s="5"/>
      <c r="N20" s="5"/>
      <c r="O20" s="5"/>
      <c r="P20" s="5"/>
      <c r="Q20" s="5"/>
      <c r="R20" s="5"/>
      <c r="S20" s="5"/>
      <c r="T20" s="5"/>
      <c r="U20" s="5"/>
      <c r="V20" s="5"/>
      <c r="W20" s="5"/>
      <c r="X20" s="5"/>
      <c r="Y20" s="5"/>
      <c r="Z20" s="5"/>
      <c r="AA20" s="5"/>
      <c r="AB20" s="5"/>
      <c r="AC20" s="5" t="s">
        <v>176</v>
      </c>
      <c r="AD20" s="5"/>
      <c r="AE20" s="5"/>
      <c r="AF20" s="5"/>
      <c r="AG20" s="5"/>
      <c r="AH20" s="5"/>
      <c r="AI20" s="5"/>
      <c r="AJ20" s="5"/>
      <c r="AK20" s="5"/>
      <c r="AL20" s="5"/>
      <c r="AM20" s="5"/>
      <c r="AN20" s="5"/>
      <c r="AO20" s="5"/>
      <c r="AP20" s="5"/>
      <c r="AQ20" s="5"/>
      <c r="AR20" s="5"/>
      <c r="AS20" s="5"/>
      <c r="AT20" s="5"/>
      <c r="AU20" s="5"/>
      <c r="AV20" s="5"/>
    </row>
    <row r="21" spans="1:48" ht="29" customHeight="1">
      <c r="A21" s="8" t="s">
        <v>177</v>
      </c>
      <c r="B21" s="8"/>
      <c r="C21" s="8"/>
      <c r="D21" s="8"/>
      <c r="E21" s="8"/>
      <c r="F21" s="8"/>
      <c r="G21" s="8"/>
      <c r="H21" s="8"/>
      <c r="I21" s="8"/>
      <c r="J21" s="8" t="s">
        <v>178</v>
      </c>
      <c r="K21" s="8"/>
      <c r="L21" s="8"/>
      <c r="M21" s="8"/>
      <c r="N21" s="8"/>
      <c r="O21" s="8"/>
      <c r="P21" s="8"/>
      <c r="Q21" s="8"/>
      <c r="R21" s="8"/>
      <c r="S21" s="8"/>
      <c r="T21" s="8"/>
      <c r="U21" s="8"/>
      <c r="V21" s="8"/>
      <c r="W21" s="8"/>
      <c r="X21" s="8"/>
      <c r="Y21" s="8"/>
      <c r="Z21" s="8"/>
      <c r="AA21" s="8"/>
      <c r="AB21" s="8"/>
      <c r="AC21" s="8" t="s">
        <v>179</v>
      </c>
      <c r="AD21" s="8"/>
      <c r="AE21" s="8"/>
      <c r="AF21" s="8"/>
      <c r="AG21" s="8"/>
      <c r="AH21" s="8"/>
      <c r="AI21" s="8"/>
      <c r="AJ21" s="8"/>
      <c r="AK21" s="8"/>
      <c r="AL21" s="8"/>
      <c r="AM21" s="8"/>
      <c r="AN21" s="8"/>
      <c r="AO21" s="8"/>
      <c r="AP21" s="8"/>
      <c r="AQ21" s="8"/>
      <c r="AR21" s="8"/>
      <c r="AS21" s="8"/>
      <c r="AT21" s="8"/>
      <c r="AU21" s="8"/>
      <c r="AV21" s="8"/>
    </row>
    <row r="22" spans="1:48" ht="29" customHeight="1">
      <c r="A22" s="5" t="s">
        <v>180</v>
      </c>
      <c r="B22" s="5"/>
      <c r="C22" s="5"/>
      <c r="D22" s="5"/>
      <c r="E22" s="5"/>
      <c r="F22" s="5"/>
      <c r="G22" s="5"/>
      <c r="H22" s="5"/>
      <c r="I22" s="5"/>
      <c r="J22" s="5" t="s">
        <v>181</v>
      </c>
      <c r="K22" s="5"/>
      <c r="L22" s="5"/>
      <c r="M22" s="5"/>
      <c r="N22" s="5"/>
      <c r="O22" s="5"/>
      <c r="P22" s="5"/>
      <c r="Q22" s="5"/>
      <c r="R22" s="5"/>
      <c r="S22" s="5"/>
      <c r="T22" s="5"/>
      <c r="U22" s="5"/>
      <c r="V22" s="5"/>
      <c r="W22" s="5"/>
      <c r="X22" s="5"/>
      <c r="Y22" s="5"/>
      <c r="Z22" s="5"/>
      <c r="AA22" s="5"/>
      <c r="AB22" s="5"/>
      <c r="AC22" s="5" t="s">
        <v>182</v>
      </c>
      <c r="AD22" s="5"/>
      <c r="AE22" s="5"/>
      <c r="AF22" s="5"/>
      <c r="AG22" s="5"/>
      <c r="AH22" s="5"/>
      <c r="AI22" s="5"/>
      <c r="AJ22" s="5"/>
      <c r="AK22" s="5"/>
      <c r="AL22" s="5"/>
      <c r="AM22" s="5"/>
      <c r="AN22" s="5"/>
      <c r="AO22" s="5"/>
      <c r="AP22" s="5"/>
      <c r="AQ22" s="5"/>
      <c r="AR22" s="5"/>
      <c r="AS22" s="5"/>
      <c r="AT22" s="5"/>
      <c r="AU22" s="5"/>
      <c r="AV22" s="5"/>
    </row>
    <row r="23" spans="1:48" ht="29" customHeight="1">
      <c r="A23" s="8" t="s">
        <v>183</v>
      </c>
      <c r="B23" s="8"/>
      <c r="C23" s="8"/>
      <c r="D23" s="8"/>
      <c r="E23" s="8"/>
      <c r="F23" s="8"/>
      <c r="G23" s="8"/>
      <c r="H23" s="8"/>
      <c r="I23" s="8"/>
      <c r="J23" s="8" t="s">
        <v>184</v>
      </c>
      <c r="K23" s="8"/>
      <c r="L23" s="8"/>
      <c r="M23" s="8"/>
      <c r="N23" s="8"/>
      <c r="O23" s="8"/>
      <c r="P23" s="8"/>
      <c r="Q23" s="8"/>
      <c r="R23" s="8"/>
      <c r="S23" s="8"/>
      <c r="T23" s="8"/>
      <c r="U23" s="8"/>
      <c r="V23" s="8"/>
      <c r="W23" s="8"/>
      <c r="X23" s="8"/>
      <c r="Y23" s="8"/>
      <c r="Z23" s="8"/>
      <c r="AA23" s="8"/>
      <c r="AB23" s="8"/>
      <c r="AC23" s="8" t="s">
        <v>185</v>
      </c>
      <c r="AD23" s="8"/>
      <c r="AE23" s="8"/>
      <c r="AF23" s="8"/>
      <c r="AG23" s="8"/>
      <c r="AH23" s="8"/>
      <c r="AI23" s="8"/>
      <c r="AJ23" s="8"/>
      <c r="AK23" s="8"/>
      <c r="AL23" s="8"/>
      <c r="AM23" s="8"/>
      <c r="AN23" s="8"/>
      <c r="AO23" s="8"/>
      <c r="AP23" s="8"/>
      <c r="AQ23" s="8"/>
      <c r="AR23" s="8"/>
      <c r="AS23" s="8"/>
      <c r="AT23" s="8"/>
      <c r="AU23" s="8"/>
      <c r="AV23" s="8"/>
    </row>
    <row r="24" spans="1:48" ht="29" customHeight="1">
      <c r="A24" s="5" t="s">
        <v>186</v>
      </c>
      <c r="B24" s="5"/>
      <c r="C24" s="5"/>
      <c r="D24" s="5"/>
      <c r="E24" s="5"/>
      <c r="F24" s="5"/>
      <c r="G24" s="5"/>
      <c r="H24" s="5"/>
      <c r="I24" s="5"/>
      <c r="J24" s="5" t="s">
        <v>187</v>
      </c>
      <c r="K24" s="5"/>
      <c r="L24" s="5"/>
      <c r="M24" s="5"/>
      <c r="N24" s="5"/>
      <c r="O24" s="5"/>
      <c r="P24" s="5"/>
      <c r="Q24" s="5"/>
      <c r="R24" s="5"/>
      <c r="S24" s="5"/>
      <c r="T24" s="5"/>
      <c r="U24" s="5"/>
      <c r="V24" s="5"/>
      <c r="W24" s="5"/>
      <c r="X24" s="5"/>
      <c r="Y24" s="5"/>
      <c r="Z24" s="5"/>
      <c r="AA24" s="5"/>
      <c r="AB24" s="5"/>
      <c r="AC24" s="5" t="s">
        <v>188</v>
      </c>
      <c r="AD24" s="5"/>
      <c r="AE24" s="5"/>
      <c r="AF24" s="5"/>
      <c r="AG24" s="5"/>
      <c r="AH24" s="5"/>
      <c r="AI24" s="5"/>
      <c r="AJ24" s="5"/>
      <c r="AK24" s="5"/>
      <c r="AL24" s="5"/>
      <c r="AM24" s="5"/>
      <c r="AN24" s="5"/>
      <c r="AO24" s="5"/>
      <c r="AP24" s="5"/>
      <c r="AQ24" s="5"/>
      <c r="AR24" s="5"/>
      <c r="AS24" s="5"/>
      <c r="AT24" s="5"/>
      <c r="AU24" s="5"/>
      <c r="AV24" s="5"/>
    </row>
    <row r="25" spans="1:48" ht="29" customHeight="1">
      <c r="A25" s="8" t="s">
        <v>189</v>
      </c>
      <c r="B25" s="8"/>
      <c r="C25" s="8"/>
      <c r="D25" s="8"/>
      <c r="E25" s="8"/>
      <c r="F25" s="8"/>
      <c r="G25" s="8"/>
      <c r="H25" s="8"/>
      <c r="I25" s="8"/>
      <c r="J25" s="8" t="s">
        <v>190</v>
      </c>
      <c r="K25" s="8"/>
      <c r="L25" s="8"/>
      <c r="M25" s="8"/>
      <c r="N25" s="8"/>
      <c r="O25" s="8"/>
      <c r="P25" s="8"/>
      <c r="Q25" s="8"/>
      <c r="R25" s="8"/>
      <c r="S25" s="8"/>
      <c r="T25" s="8"/>
      <c r="U25" s="8"/>
      <c r="V25" s="8"/>
      <c r="W25" s="8"/>
      <c r="X25" s="8"/>
      <c r="Y25" s="8"/>
      <c r="Z25" s="8"/>
      <c r="AA25" s="8"/>
      <c r="AB25" s="8"/>
      <c r="AC25" s="8" t="s">
        <v>191</v>
      </c>
      <c r="AD25" s="8"/>
      <c r="AE25" s="8"/>
      <c r="AF25" s="8"/>
      <c r="AG25" s="8"/>
      <c r="AH25" s="8"/>
      <c r="AI25" s="8"/>
      <c r="AJ25" s="8"/>
      <c r="AK25" s="8"/>
      <c r="AL25" s="8"/>
      <c r="AM25" s="8"/>
      <c r="AN25" s="8"/>
      <c r="AO25" s="8"/>
      <c r="AP25" s="8"/>
      <c r="AQ25" s="8"/>
      <c r="AR25" s="8"/>
      <c r="AS25" s="8"/>
      <c r="AT25" s="8"/>
      <c r="AU25" s="8"/>
      <c r="AV25" s="8"/>
    </row>
    <row r="26" spans="1:48" ht="29" customHeight="1">
      <c r="A26" s="5" t="s">
        <v>192</v>
      </c>
      <c r="B26" s="5"/>
      <c r="C26" s="5"/>
      <c r="D26" s="5"/>
      <c r="E26" s="5"/>
      <c r="F26" s="5"/>
      <c r="G26" s="5"/>
      <c r="H26" s="5"/>
      <c r="I26" s="5"/>
      <c r="J26" s="5" t="s">
        <v>193</v>
      </c>
      <c r="K26" s="5"/>
      <c r="L26" s="5"/>
      <c r="M26" s="5"/>
      <c r="N26" s="5"/>
      <c r="O26" s="5"/>
      <c r="P26" s="5"/>
      <c r="Q26" s="5"/>
      <c r="R26" s="5"/>
      <c r="S26" s="5"/>
      <c r="T26" s="5"/>
      <c r="U26" s="5"/>
      <c r="V26" s="5"/>
      <c r="W26" s="5"/>
      <c r="X26" s="5"/>
      <c r="Y26" s="5"/>
      <c r="Z26" s="5"/>
      <c r="AA26" s="5"/>
      <c r="AB26" s="5"/>
      <c r="AC26" s="5" t="s">
        <v>194</v>
      </c>
      <c r="AD26" s="5"/>
      <c r="AE26" s="5"/>
      <c r="AF26" s="5"/>
      <c r="AG26" s="5"/>
      <c r="AH26" s="5"/>
      <c r="AI26" s="5"/>
      <c r="AJ26" s="5"/>
      <c r="AK26" s="5"/>
      <c r="AL26" s="5"/>
      <c r="AM26" s="5"/>
      <c r="AN26" s="5"/>
      <c r="AO26" s="5"/>
      <c r="AP26" s="5"/>
      <c r="AQ26" s="5"/>
      <c r="AR26" s="5"/>
      <c r="AS26" s="5"/>
      <c r="AT26" s="5"/>
      <c r="AU26" s="5"/>
      <c r="AV26" s="5"/>
    </row>
    <row r="27" spans="1:48" ht="29" customHeight="1">
      <c r="A27" s="8" t="s">
        <v>195</v>
      </c>
      <c r="B27" s="8"/>
      <c r="C27" s="8"/>
      <c r="D27" s="8"/>
      <c r="E27" s="8"/>
      <c r="F27" s="8"/>
      <c r="G27" s="8"/>
      <c r="H27" s="8"/>
      <c r="I27" s="8"/>
      <c r="J27" s="8" t="s">
        <v>196</v>
      </c>
      <c r="K27" s="8"/>
      <c r="L27" s="8"/>
      <c r="M27" s="8"/>
      <c r="N27" s="8"/>
      <c r="O27" s="8"/>
      <c r="P27" s="8"/>
      <c r="Q27" s="8"/>
      <c r="R27" s="8"/>
      <c r="S27" s="8"/>
      <c r="T27" s="8"/>
      <c r="U27" s="8"/>
      <c r="V27" s="8"/>
      <c r="W27" s="8"/>
      <c r="X27" s="8"/>
      <c r="Y27" s="8"/>
      <c r="Z27" s="8"/>
      <c r="AA27" s="8"/>
      <c r="AB27" s="8"/>
      <c r="AC27" s="8" t="s">
        <v>197</v>
      </c>
      <c r="AD27" s="8"/>
      <c r="AE27" s="8"/>
      <c r="AF27" s="8"/>
      <c r="AG27" s="8"/>
      <c r="AH27" s="8"/>
      <c r="AI27" s="8"/>
      <c r="AJ27" s="8"/>
      <c r="AK27" s="8"/>
      <c r="AL27" s="8"/>
      <c r="AM27" s="8"/>
      <c r="AN27" s="8"/>
      <c r="AO27" s="8"/>
      <c r="AP27" s="8"/>
      <c r="AQ27" s="8"/>
      <c r="AR27" s="8"/>
      <c r="AS27" s="8"/>
      <c r="AT27" s="8"/>
      <c r="AU27" s="8"/>
      <c r="AV27" s="8"/>
    </row>
    <row r="28" spans="1:48" ht="29" customHeight="1">
      <c r="A28" s="5" t="s">
        <v>198</v>
      </c>
      <c r="B28" s="5"/>
      <c r="C28" s="5"/>
      <c r="D28" s="5"/>
      <c r="E28" s="5"/>
      <c r="F28" s="5"/>
      <c r="G28" s="5"/>
      <c r="H28" s="5"/>
      <c r="I28" s="5"/>
      <c r="J28" s="5" t="s">
        <v>199</v>
      </c>
      <c r="K28" s="5"/>
      <c r="L28" s="5"/>
      <c r="M28" s="5"/>
      <c r="N28" s="5"/>
      <c r="O28" s="5"/>
      <c r="P28" s="5"/>
      <c r="Q28" s="5"/>
      <c r="R28" s="5"/>
      <c r="S28" s="5"/>
      <c r="T28" s="5"/>
      <c r="U28" s="5"/>
      <c r="V28" s="5"/>
      <c r="W28" s="5"/>
      <c r="X28" s="5"/>
      <c r="Y28" s="5"/>
      <c r="Z28" s="5"/>
      <c r="AA28" s="5"/>
      <c r="AB28" s="5"/>
      <c r="AC28" s="5" t="s">
        <v>200</v>
      </c>
      <c r="AD28" s="5"/>
      <c r="AE28" s="5"/>
      <c r="AF28" s="5"/>
      <c r="AG28" s="5"/>
      <c r="AH28" s="5"/>
      <c r="AI28" s="5"/>
      <c r="AJ28" s="5"/>
      <c r="AK28" s="5"/>
      <c r="AL28" s="5"/>
      <c r="AM28" s="5"/>
      <c r="AN28" s="5"/>
      <c r="AO28" s="5"/>
      <c r="AP28" s="5"/>
      <c r="AQ28" s="5"/>
      <c r="AR28" s="5"/>
      <c r="AS28" s="5"/>
      <c r="AT28" s="5"/>
      <c r="AU28" s="5"/>
      <c r="AV28" s="5"/>
    </row>
    <row r="29" spans="1:48" ht="29" customHeight="1">
      <c r="A29" s="8" t="s">
        <v>201</v>
      </c>
      <c r="B29" s="8"/>
      <c r="C29" s="8"/>
      <c r="D29" s="8"/>
      <c r="E29" s="8"/>
      <c r="F29" s="8"/>
      <c r="G29" s="8"/>
      <c r="H29" s="8"/>
      <c r="I29" s="8"/>
      <c r="J29" s="8" t="s">
        <v>202</v>
      </c>
      <c r="K29" s="8"/>
      <c r="L29" s="8"/>
      <c r="M29" s="8"/>
      <c r="N29" s="8"/>
      <c r="O29" s="8"/>
      <c r="P29" s="8"/>
      <c r="Q29" s="8"/>
      <c r="R29" s="8"/>
      <c r="S29" s="8"/>
      <c r="T29" s="8"/>
      <c r="U29" s="8"/>
      <c r="V29" s="8"/>
      <c r="W29" s="8"/>
      <c r="X29" s="8"/>
      <c r="Y29" s="8"/>
      <c r="Z29" s="8"/>
      <c r="AA29" s="8"/>
      <c r="AB29" s="8"/>
      <c r="AC29" s="8" t="s">
        <v>203</v>
      </c>
      <c r="AD29" s="8"/>
      <c r="AE29" s="8"/>
      <c r="AF29" s="8"/>
      <c r="AG29" s="8"/>
      <c r="AH29" s="8"/>
      <c r="AI29" s="8"/>
      <c r="AJ29" s="8"/>
      <c r="AK29" s="8"/>
      <c r="AL29" s="8"/>
      <c r="AM29" s="8"/>
      <c r="AN29" s="8"/>
      <c r="AO29" s="8"/>
      <c r="AP29" s="8"/>
      <c r="AQ29" s="8"/>
      <c r="AR29" s="8"/>
      <c r="AS29" s="8"/>
      <c r="AT29" s="8"/>
      <c r="AU29" s="8"/>
      <c r="AV29" s="8"/>
    </row>
    <row r="30" spans="1:48" ht="10" customHeight="1"/>
  </sheetData>
  <mergeCells count="75">
    <mergeCell ref="A1:AV1"/>
    <mergeCell ref="A2:AV2"/>
    <mergeCell ref="A3:AV3"/>
    <mergeCell ref="A4:X4"/>
    <mergeCell ref="Y4:AV4"/>
    <mergeCell ref="A6:AV6"/>
    <mergeCell ref="A7:I7"/>
    <mergeCell ref="J7:AB7"/>
    <mergeCell ref="AC7:AV7"/>
    <mergeCell ref="A8:I8"/>
    <mergeCell ref="J8:AB8"/>
    <mergeCell ref="AC8:AV8"/>
    <mergeCell ref="A9:I9"/>
    <mergeCell ref="J9:AB9"/>
    <mergeCell ref="AC9:AV9"/>
    <mergeCell ref="A10:I10"/>
    <mergeCell ref="J10:AB10"/>
    <mergeCell ref="AC10:AV10"/>
    <mergeCell ref="A11:I11"/>
    <mergeCell ref="J11:AB11"/>
    <mergeCell ref="AC11:AV11"/>
    <mergeCell ref="A12:I12"/>
    <mergeCell ref="J12:AB12"/>
    <mergeCell ref="AC12:AV12"/>
    <mergeCell ref="A13:I13"/>
    <mergeCell ref="J13:AB13"/>
    <mergeCell ref="AC13:AV13"/>
    <mergeCell ref="A14:I14"/>
    <mergeCell ref="J14:AB14"/>
    <mergeCell ref="AC14:AV14"/>
    <mergeCell ref="A15:I15"/>
    <mergeCell ref="J15:AB15"/>
    <mergeCell ref="AC15:AV15"/>
    <mergeCell ref="A16:I16"/>
    <mergeCell ref="J16:AB16"/>
    <mergeCell ref="AC16:AV16"/>
    <mergeCell ref="A17:I17"/>
    <mergeCell ref="J17:AB17"/>
    <mergeCell ref="AC17:AV17"/>
    <mergeCell ref="A18:I18"/>
    <mergeCell ref="J18:AB18"/>
    <mergeCell ref="AC18:AV18"/>
    <mergeCell ref="A19:I19"/>
    <mergeCell ref="J19:AB19"/>
    <mergeCell ref="AC19:AV19"/>
    <mergeCell ref="A20:I20"/>
    <mergeCell ref="J20:AB20"/>
    <mergeCell ref="AC20:AV20"/>
    <mergeCell ref="A21:I21"/>
    <mergeCell ref="J21:AB21"/>
    <mergeCell ref="AC21:AV21"/>
    <mergeCell ref="A22:I22"/>
    <mergeCell ref="J22:AB22"/>
    <mergeCell ref="AC22:AV22"/>
    <mergeCell ref="A23:I23"/>
    <mergeCell ref="J23:AB23"/>
    <mergeCell ref="AC23:AV23"/>
    <mergeCell ref="A24:I24"/>
    <mergeCell ref="J24:AB24"/>
    <mergeCell ref="AC24:AV24"/>
    <mergeCell ref="A25:I25"/>
    <mergeCell ref="J25:AB25"/>
    <mergeCell ref="AC25:AV25"/>
    <mergeCell ref="A26:I26"/>
    <mergeCell ref="J26:AB26"/>
    <mergeCell ref="AC26:AV26"/>
    <mergeCell ref="A27:I27"/>
    <mergeCell ref="J27:AB27"/>
    <mergeCell ref="AC27:AV27"/>
    <mergeCell ref="A28:I28"/>
    <mergeCell ref="J28:AB28"/>
    <mergeCell ref="AC28:AV28"/>
    <mergeCell ref="A29:I29"/>
    <mergeCell ref="J29:AB29"/>
    <mergeCell ref="AC29:AV29"/>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4.xml><?xml version="1.0" encoding="utf-8"?>
<worksheet xmlns="http://schemas.openxmlformats.org/spreadsheetml/2006/main" xmlns:r="http://schemas.openxmlformats.org/officeDocument/2006/relationships">
  <sheetPr>
    <tabColor rgb="FF777777"/>
    <pageSetUpPr fitToPage="1"/>
  </sheetPr>
  <dimension ref="A1:AV49"/>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204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205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206</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207</v>
      </c>
      <c r="B7" s="7"/>
      <c r="C7" s="7"/>
      <c r="D7" s="7"/>
      <c r="E7" s="7"/>
      <c r="F7" s="7"/>
      <c r="G7" s="7"/>
      <c r="H7" s="7"/>
      <c r="I7" s="7"/>
      <c r="J7" s="7"/>
      <c r="K7" s="7"/>
      <c r="L7" s="7" t="s">
        <v>208</v>
      </c>
      <c r="M7" s="7"/>
      <c r="N7" s="7"/>
      <c r="O7" s="7"/>
      <c r="P7" s="7"/>
      <c r="Q7" s="7"/>
      <c r="R7" s="7"/>
      <c r="S7" s="7"/>
      <c r="T7" s="7"/>
      <c r="U7" s="7"/>
      <c r="V7" s="7"/>
      <c r="W7" s="7"/>
      <c r="X7" s="7" t="s">
        <v>209</v>
      </c>
      <c r="Y7" s="7"/>
      <c r="Z7" s="7"/>
      <c r="AA7" s="7"/>
      <c r="AB7" s="7"/>
      <c r="AC7" s="7"/>
      <c r="AD7" s="7"/>
      <c r="AE7" s="7"/>
      <c r="AF7" s="7" t="s">
        <v>210</v>
      </c>
      <c r="AG7" s="7"/>
      <c r="AH7" s="7"/>
      <c r="AI7" s="7"/>
      <c r="AJ7" s="7"/>
      <c r="AK7" s="7"/>
      <c r="AL7" s="7"/>
      <c r="AM7" s="7"/>
      <c r="AN7" s="7"/>
      <c r="AO7" s="7"/>
      <c r="AP7" s="7"/>
      <c r="AQ7" s="7"/>
      <c r="AR7" s="7"/>
      <c r="AS7" s="7"/>
      <c r="AT7" s="7"/>
      <c r="AU7" s="7"/>
      <c r="AV7" s="7"/>
    </row>
    <row r="8" spans="1:48" ht="46" customHeight="1">
      <c r="A8" s="5" t="s">
        <v>211</v>
      </c>
      <c r="B8" s="5"/>
      <c r="C8" s="5"/>
      <c r="D8" s="5"/>
      <c r="E8" s="5"/>
      <c r="F8" s="5"/>
      <c r="G8" s="5"/>
      <c r="H8" s="5"/>
      <c r="I8" s="5"/>
      <c r="J8" s="5"/>
      <c r="K8" s="5"/>
      <c r="L8" s="5" t="s">
        <v>212</v>
      </c>
      <c r="M8" s="5"/>
      <c r="N8" s="5"/>
      <c r="O8" s="5"/>
      <c r="P8" s="5"/>
      <c r="Q8" s="5"/>
      <c r="R8" s="5"/>
      <c r="S8" s="5"/>
      <c r="T8" s="5"/>
      <c r="U8" s="5"/>
      <c r="V8" s="5"/>
      <c r="W8" s="5"/>
      <c r="X8" s="5" t="s">
        <v>213</v>
      </c>
      <c r="Y8" s="5"/>
      <c r="Z8" s="5"/>
      <c r="AA8" s="5"/>
      <c r="AB8" s="5"/>
      <c r="AC8" s="5"/>
      <c r="AD8" s="5"/>
      <c r="AE8" s="5"/>
      <c r="AF8" s="5" t="s">
        <v>214</v>
      </c>
      <c r="AG8" s="5"/>
      <c r="AH8" s="5"/>
      <c r="AI8" s="5"/>
      <c r="AJ8" s="5"/>
      <c r="AK8" s="5"/>
      <c r="AL8" s="5"/>
      <c r="AM8" s="5"/>
      <c r="AN8" s="5"/>
      <c r="AO8" s="5"/>
      <c r="AP8" s="5"/>
      <c r="AQ8" s="5"/>
      <c r="AR8" s="5"/>
      <c r="AS8" s="5"/>
      <c r="AT8" s="5"/>
      <c r="AU8" s="5"/>
      <c r="AV8" s="5"/>
    </row>
    <row r="9" spans="1:48" ht="46" customHeight="1">
      <c r="A9" s="8" t="s">
        <v>215</v>
      </c>
      <c r="B9" s="8"/>
      <c r="C9" s="8"/>
      <c r="D9" s="8"/>
      <c r="E9" s="8"/>
      <c r="F9" s="8"/>
      <c r="G9" s="8"/>
      <c r="H9" s="8"/>
      <c r="I9" s="8"/>
      <c r="J9" s="8"/>
      <c r="K9" s="8"/>
      <c r="L9" s="8" t="s">
        <v>216</v>
      </c>
      <c r="M9" s="8"/>
      <c r="N9" s="8"/>
      <c r="O9" s="8"/>
      <c r="P9" s="8"/>
      <c r="Q9" s="8"/>
      <c r="R9" s="8"/>
      <c r="S9" s="8"/>
      <c r="T9" s="8"/>
      <c r="U9" s="8"/>
      <c r="V9" s="8"/>
      <c r="W9" s="8"/>
      <c r="X9" s="8" t="s">
        <v>217</v>
      </c>
      <c r="Y9" s="8"/>
      <c r="Z9" s="8"/>
      <c r="AA9" s="8"/>
      <c r="AB9" s="8"/>
      <c r="AC9" s="8"/>
      <c r="AD9" s="8"/>
      <c r="AE9" s="8"/>
      <c r="AF9" s="8" t="s">
        <v>218</v>
      </c>
      <c r="AG9" s="8"/>
      <c r="AH9" s="8"/>
      <c r="AI9" s="8"/>
      <c r="AJ9" s="8"/>
      <c r="AK9" s="8"/>
      <c r="AL9" s="8"/>
      <c r="AM9" s="8"/>
      <c r="AN9" s="8"/>
      <c r="AO9" s="8"/>
      <c r="AP9" s="8"/>
      <c r="AQ9" s="8"/>
      <c r="AR9" s="8"/>
      <c r="AS9" s="8"/>
      <c r="AT9" s="8"/>
      <c r="AU9" s="8"/>
      <c r="AV9" s="8"/>
    </row>
    <row r="10" spans="1:48" ht="29" customHeight="1">
      <c r="A10" s="5" t="s">
        <v>219</v>
      </c>
      <c r="B10" s="5"/>
      <c r="C10" s="5"/>
      <c r="D10" s="5"/>
      <c r="E10" s="5"/>
      <c r="F10" s="5"/>
      <c r="G10" s="5"/>
      <c r="H10" s="5"/>
      <c r="I10" s="5"/>
      <c r="J10" s="5"/>
      <c r="K10" s="5"/>
      <c r="L10" s="5" t="s">
        <v>220</v>
      </c>
      <c r="M10" s="5"/>
      <c r="N10" s="5"/>
      <c r="O10" s="5"/>
      <c r="P10" s="5"/>
      <c r="Q10" s="5"/>
      <c r="R10" s="5"/>
      <c r="S10" s="5"/>
      <c r="T10" s="5"/>
      <c r="U10" s="5"/>
      <c r="V10" s="5"/>
      <c r="W10" s="5"/>
      <c r="X10" s="5" t="s">
        <v>221</v>
      </c>
      <c r="Y10" s="5"/>
      <c r="Z10" s="5"/>
      <c r="AA10" s="5"/>
      <c r="AB10" s="5"/>
      <c r="AC10" s="5"/>
      <c r="AD10" s="5"/>
      <c r="AE10" s="5"/>
      <c r="AF10" s="5" t="s">
        <v>222</v>
      </c>
      <c r="AG10" s="5"/>
      <c r="AH10" s="5"/>
      <c r="AI10" s="5"/>
      <c r="AJ10" s="5"/>
      <c r="AK10" s="5"/>
      <c r="AL10" s="5"/>
      <c r="AM10" s="5"/>
      <c r="AN10" s="5"/>
      <c r="AO10" s="5"/>
      <c r="AP10" s="5"/>
      <c r="AQ10" s="5"/>
      <c r="AR10" s="5"/>
      <c r="AS10" s="5"/>
      <c r="AT10" s="5"/>
      <c r="AU10" s="5"/>
      <c r="AV10" s="5"/>
    </row>
    <row r="11" spans="1:48" ht="29" customHeight="1">
      <c r="A11" s="8" t="s">
        <v>223</v>
      </c>
      <c r="B11" s="8"/>
      <c r="C11" s="8"/>
      <c r="D11" s="8"/>
      <c r="E11" s="8"/>
      <c r="F11" s="8"/>
      <c r="G11" s="8"/>
      <c r="H11" s="8"/>
      <c r="I11" s="8"/>
      <c r="J11" s="8"/>
      <c r="K11" s="8"/>
      <c r="L11" s="8" t="s">
        <v>224</v>
      </c>
      <c r="M11" s="8"/>
      <c r="N11" s="8"/>
      <c r="O11" s="8"/>
      <c r="P11" s="8"/>
      <c r="Q11" s="8"/>
      <c r="R11" s="8"/>
      <c r="S11" s="8"/>
      <c r="T11" s="8"/>
      <c r="U11" s="8"/>
      <c r="V11" s="8"/>
      <c r="W11" s="8"/>
      <c r="X11" s="8" t="s">
        <v>225</v>
      </c>
      <c r="Y11" s="8"/>
      <c r="Z11" s="8"/>
      <c r="AA11" s="8"/>
      <c r="AB11" s="8"/>
      <c r="AC11" s="8"/>
      <c r="AD11" s="8"/>
      <c r="AE11" s="8"/>
      <c r="AF11" s="8" t="s">
        <v>226</v>
      </c>
      <c r="AG11" s="8"/>
      <c r="AH11" s="8"/>
      <c r="AI11" s="8"/>
      <c r="AJ11" s="8"/>
      <c r="AK11" s="8"/>
      <c r="AL11" s="8"/>
      <c r="AM11" s="8"/>
      <c r="AN11" s="8"/>
      <c r="AO11" s="8"/>
      <c r="AP11" s="8"/>
      <c r="AQ11" s="8"/>
      <c r="AR11" s="8"/>
      <c r="AS11" s="8"/>
      <c r="AT11" s="8"/>
      <c r="AU11" s="8"/>
      <c r="AV11" s="8"/>
    </row>
    <row r="12" spans="1:48" ht="46" customHeight="1">
      <c r="A12" s="5" t="s">
        <v>227</v>
      </c>
      <c r="B12" s="5"/>
      <c r="C12" s="5"/>
      <c r="D12" s="5"/>
      <c r="E12" s="5"/>
      <c r="F12" s="5"/>
      <c r="G12" s="5"/>
      <c r="H12" s="5"/>
      <c r="I12" s="5"/>
      <c r="J12" s="5"/>
      <c r="K12" s="5"/>
      <c r="L12" s="5" t="s">
        <v>228</v>
      </c>
      <c r="M12" s="5"/>
      <c r="N12" s="5"/>
      <c r="O12" s="5"/>
      <c r="P12" s="5"/>
      <c r="Q12" s="5"/>
      <c r="R12" s="5"/>
      <c r="S12" s="5"/>
      <c r="T12" s="5"/>
      <c r="U12" s="5"/>
      <c r="V12" s="5"/>
      <c r="W12" s="5"/>
      <c r="X12" s="5" t="s">
        <v>229</v>
      </c>
      <c r="Y12" s="5"/>
      <c r="Z12" s="5"/>
      <c r="AA12" s="5"/>
      <c r="AB12" s="5"/>
      <c r="AC12" s="5"/>
      <c r="AD12" s="5"/>
      <c r="AE12" s="5"/>
      <c r="AF12" s="5" t="s">
        <v>230</v>
      </c>
      <c r="AG12" s="5"/>
      <c r="AH12" s="5"/>
      <c r="AI12" s="5"/>
      <c r="AJ12" s="5"/>
      <c r="AK12" s="5"/>
      <c r="AL12" s="5"/>
      <c r="AM12" s="5"/>
      <c r="AN12" s="5"/>
      <c r="AO12" s="5"/>
      <c r="AP12" s="5"/>
      <c r="AQ12" s="5"/>
      <c r="AR12" s="5"/>
      <c r="AS12" s="5"/>
      <c r="AT12" s="5"/>
      <c r="AU12" s="5"/>
      <c r="AV12" s="5"/>
    </row>
    <row r="13" spans="1:48" ht="46" customHeight="1">
      <c r="A13" s="8" t="s">
        <v>231</v>
      </c>
      <c r="B13" s="8"/>
      <c r="C13" s="8"/>
      <c r="D13" s="8"/>
      <c r="E13" s="8"/>
      <c r="F13" s="8"/>
      <c r="G13" s="8"/>
      <c r="H13" s="8"/>
      <c r="I13" s="8"/>
      <c r="J13" s="8"/>
      <c r="K13" s="8"/>
      <c r="L13" s="8" t="s">
        <v>232</v>
      </c>
      <c r="M13" s="8"/>
      <c r="N13" s="8"/>
      <c r="O13" s="8"/>
      <c r="P13" s="8"/>
      <c r="Q13" s="8"/>
      <c r="R13" s="8"/>
      <c r="S13" s="8"/>
      <c r="T13" s="8"/>
      <c r="U13" s="8"/>
      <c r="V13" s="8"/>
      <c r="W13" s="8"/>
      <c r="X13" s="8" t="s">
        <v>233</v>
      </c>
      <c r="Y13" s="8"/>
      <c r="Z13" s="8"/>
      <c r="AA13" s="8"/>
      <c r="AB13" s="8"/>
      <c r="AC13" s="8"/>
      <c r="AD13" s="8"/>
      <c r="AE13" s="8"/>
      <c r="AF13" s="8" t="s">
        <v>234</v>
      </c>
      <c r="AG13" s="8"/>
      <c r="AH13" s="8"/>
      <c r="AI13" s="8"/>
      <c r="AJ13" s="8"/>
      <c r="AK13" s="8"/>
      <c r="AL13" s="8"/>
      <c r="AM13" s="8"/>
      <c r="AN13" s="8"/>
      <c r="AO13" s="8"/>
      <c r="AP13" s="8"/>
      <c r="AQ13" s="8"/>
      <c r="AR13" s="8"/>
      <c r="AS13" s="8"/>
      <c r="AT13" s="8"/>
      <c r="AU13" s="8"/>
      <c r="AV13" s="8"/>
    </row>
    <row r="14" spans="1:48" ht="46" customHeight="1">
      <c r="A14" s="5" t="s">
        <v>235</v>
      </c>
      <c r="B14" s="5"/>
      <c r="C14" s="5"/>
      <c r="D14" s="5"/>
      <c r="E14" s="5"/>
      <c r="F14" s="5"/>
      <c r="G14" s="5"/>
      <c r="H14" s="5"/>
      <c r="I14" s="5"/>
      <c r="J14" s="5"/>
      <c r="K14" s="5"/>
      <c r="L14" s="5" t="s">
        <v>236</v>
      </c>
      <c r="M14" s="5"/>
      <c r="N14" s="5"/>
      <c r="O14" s="5"/>
      <c r="P14" s="5"/>
      <c r="Q14" s="5"/>
      <c r="R14" s="5"/>
      <c r="S14" s="5"/>
      <c r="T14" s="5"/>
      <c r="U14" s="5"/>
      <c r="V14" s="5"/>
      <c r="W14" s="5"/>
      <c r="X14" s="5" t="s">
        <v>237</v>
      </c>
      <c r="Y14" s="5"/>
      <c r="Z14" s="5"/>
      <c r="AA14" s="5"/>
      <c r="AB14" s="5"/>
      <c r="AC14" s="5"/>
      <c r="AD14" s="5"/>
      <c r="AE14" s="5"/>
      <c r="AF14" s="5" t="s">
        <v>238</v>
      </c>
      <c r="AG14" s="5"/>
      <c r="AH14" s="5"/>
      <c r="AI14" s="5"/>
      <c r="AJ14" s="5"/>
      <c r="AK14" s="5"/>
      <c r="AL14" s="5"/>
      <c r="AM14" s="5"/>
      <c r="AN14" s="5"/>
      <c r="AO14" s="5"/>
      <c r="AP14" s="5"/>
      <c r="AQ14" s="5"/>
      <c r="AR14" s="5"/>
      <c r="AS14" s="5"/>
      <c r="AT14" s="5"/>
      <c r="AU14" s="5"/>
      <c r="AV14" s="5"/>
    </row>
    <row r="15" spans="1:48" ht="46" customHeight="1">
      <c r="A15" s="8" t="s">
        <v>174</v>
      </c>
      <c r="B15" s="8"/>
      <c r="C15" s="8"/>
      <c r="D15" s="8"/>
      <c r="E15" s="8"/>
      <c r="F15" s="8"/>
      <c r="G15" s="8"/>
      <c r="H15" s="8"/>
      <c r="I15" s="8"/>
      <c r="J15" s="8"/>
      <c r="K15" s="8"/>
      <c r="L15" s="8" t="s">
        <v>239</v>
      </c>
      <c r="M15" s="8"/>
      <c r="N15" s="8"/>
      <c r="O15" s="8"/>
      <c r="P15" s="8"/>
      <c r="Q15" s="8"/>
      <c r="R15" s="8"/>
      <c r="S15" s="8"/>
      <c r="T15" s="8"/>
      <c r="U15" s="8"/>
      <c r="V15" s="8"/>
      <c r="W15" s="8"/>
      <c r="X15" s="8" t="s">
        <v>240</v>
      </c>
      <c r="Y15" s="8"/>
      <c r="Z15" s="8"/>
      <c r="AA15" s="8"/>
      <c r="AB15" s="8"/>
      <c r="AC15" s="8"/>
      <c r="AD15" s="8"/>
      <c r="AE15" s="8"/>
      <c r="AF15" s="8" t="s">
        <v>241</v>
      </c>
      <c r="AG15" s="8"/>
      <c r="AH15" s="8"/>
      <c r="AI15" s="8"/>
      <c r="AJ15" s="8"/>
      <c r="AK15" s="8"/>
      <c r="AL15" s="8"/>
      <c r="AM15" s="8"/>
      <c r="AN15" s="8"/>
      <c r="AO15" s="8"/>
      <c r="AP15" s="8"/>
      <c r="AQ15" s="8"/>
      <c r="AR15" s="8"/>
      <c r="AS15" s="8"/>
      <c r="AT15" s="8"/>
      <c r="AU15" s="8"/>
      <c r="AV15" s="8"/>
    </row>
    <row r="16" spans="1:48" ht="46" customHeight="1">
      <c r="A16" s="5" t="s">
        <v>98</v>
      </c>
      <c r="B16" s="5"/>
      <c r="C16" s="5"/>
      <c r="D16" s="5"/>
      <c r="E16" s="5"/>
      <c r="F16" s="5"/>
      <c r="G16" s="5"/>
      <c r="H16" s="5"/>
      <c r="I16" s="5"/>
      <c r="J16" s="5"/>
      <c r="K16" s="5"/>
      <c r="L16" s="5" t="s">
        <v>242</v>
      </c>
      <c r="M16" s="5"/>
      <c r="N16" s="5"/>
      <c r="O16" s="5"/>
      <c r="P16" s="5"/>
      <c r="Q16" s="5"/>
      <c r="R16" s="5"/>
      <c r="S16" s="5"/>
      <c r="T16" s="5"/>
      <c r="U16" s="5"/>
      <c r="V16" s="5"/>
      <c r="W16" s="5"/>
      <c r="X16" s="5" t="s">
        <v>243</v>
      </c>
      <c r="Y16" s="5"/>
      <c r="Z16" s="5"/>
      <c r="AA16" s="5"/>
      <c r="AB16" s="5"/>
      <c r="AC16" s="5"/>
      <c r="AD16" s="5"/>
      <c r="AE16" s="5"/>
      <c r="AF16" s="5" t="s">
        <v>244</v>
      </c>
      <c r="AG16" s="5"/>
      <c r="AH16" s="5"/>
      <c r="AI16" s="5"/>
      <c r="AJ16" s="5"/>
      <c r="AK16" s="5"/>
      <c r="AL16" s="5"/>
      <c r="AM16" s="5"/>
      <c r="AN16" s="5"/>
      <c r="AO16" s="5"/>
      <c r="AP16" s="5"/>
      <c r="AQ16" s="5"/>
      <c r="AR16" s="5"/>
      <c r="AS16" s="5"/>
      <c r="AT16" s="5"/>
      <c r="AU16" s="5"/>
      <c r="AV16" s="5"/>
    </row>
    <row r="17" spans="1:48" ht="46" customHeight="1">
      <c r="A17" s="8" t="s">
        <v>245</v>
      </c>
      <c r="B17" s="8"/>
      <c r="C17" s="8"/>
      <c r="D17" s="8"/>
      <c r="E17" s="8"/>
      <c r="F17" s="8"/>
      <c r="G17" s="8"/>
      <c r="H17" s="8"/>
      <c r="I17" s="8"/>
      <c r="J17" s="8"/>
      <c r="K17" s="8"/>
      <c r="L17" s="8" t="s">
        <v>242</v>
      </c>
      <c r="M17" s="8"/>
      <c r="N17" s="8"/>
      <c r="O17" s="8"/>
      <c r="P17" s="8"/>
      <c r="Q17" s="8"/>
      <c r="R17" s="8"/>
      <c r="S17" s="8"/>
      <c r="T17" s="8"/>
      <c r="U17" s="8"/>
      <c r="V17" s="8"/>
      <c r="W17" s="8"/>
      <c r="X17" s="8" t="s">
        <v>217</v>
      </c>
      <c r="Y17" s="8"/>
      <c r="Z17" s="8"/>
      <c r="AA17" s="8"/>
      <c r="AB17" s="8"/>
      <c r="AC17" s="8"/>
      <c r="AD17" s="8"/>
      <c r="AE17" s="8"/>
      <c r="AF17" s="8" t="s">
        <v>246</v>
      </c>
      <c r="AG17" s="8"/>
      <c r="AH17" s="8"/>
      <c r="AI17" s="8"/>
      <c r="AJ17" s="8"/>
      <c r="AK17" s="8"/>
      <c r="AL17" s="8"/>
      <c r="AM17" s="8"/>
      <c r="AN17" s="8"/>
      <c r="AO17" s="8"/>
      <c r="AP17" s="8"/>
      <c r="AQ17" s="8"/>
      <c r="AR17" s="8"/>
      <c r="AS17" s="8"/>
      <c r="AT17" s="8"/>
      <c r="AU17" s="8"/>
      <c r="AV17" s="8"/>
    </row>
    <row r="18" spans="1:48" ht="46" customHeight="1">
      <c r="A18" s="5" t="s">
        <v>247</v>
      </c>
      <c r="B18" s="5"/>
      <c r="C18" s="5"/>
      <c r="D18" s="5"/>
      <c r="E18" s="5"/>
      <c r="F18" s="5"/>
      <c r="G18" s="5"/>
      <c r="H18" s="5"/>
      <c r="I18" s="5"/>
      <c r="J18" s="5"/>
      <c r="K18" s="5"/>
      <c r="L18" s="5" t="s">
        <v>239</v>
      </c>
      <c r="M18" s="5"/>
      <c r="N18" s="5"/>
      <c r="O18" s="5"/>
      <c r="P18" s="5"/>
      <c r="Q18" s="5"/>
      <c r="R18" s="5"/>
      <c r="S18" s="5"/>
      <c r="T18" s="5"/>
      <c r="U18" s="5"/>
      <c r="V18" s="5"/>
      <c r="W18" s="5"/>
      <c r="X18" s="5" t="s">
        <v>248</v>
      </c>
      <c r="Y18" s="5"/>
      <c r="Z18" s="5"/>
      <c r="AA18" s="5"/>
      <c r="AB18" s="5"/>
      <c r="AC18" s="5"/>
      <c r="AD18" s="5"/>
      <c r="AE18" s="5"/>
      <c r="AF18" s="5" t="s">
        <v>249</v>
      </c>
      <c r="AG18" s="5"/>
      <c r="AH18" s="5"/>
      <c r="AI18" s="5"/>
      <c r="AJ18" s="5"/>
      <c r="AK18" s="5"/>
      <c r="AL18" s="5"/>
      <c r="AM18" s="5"/>
      <c r="AN18" s="5"/>
      <c r="AO18" s="5"/>
      <c r="AP18" s="5"/>
      <c r="AQ18" s="5"/>
      <c r="AR18" s="5"/>
      <c r="AS18" s="5"/>
      <c r="AT18" s="5"/>
      <c r="AU18" s="5"/>
      <c r="AV18" s="5"/>
    </row>
    <row r="19" spans="1:48" ht="29" customHeight="1">
      <c r="A19" s="8" t="s">
        <v>250</v>
      </c>
      <c r="B19" s="8"/>
      <c r="C19" s="8"/>
      <c r="D19" s="8"/>
      <c r="E19" s="8"/>
      <c r="F19" s="8"/>
      <c r="G19" s="8"/>
      <c r="H19" s="8"/>
      <c r="I19" s="8"/>
      <c r="J19" s="8"/>
      <c r="K19" s="8"/>
      <c r="L19" s="8" t="s">
        <v>251</v>
      </c>
      <c r="M19" s="8"/>
      <c r="N19" s="8"/>
      <c r="O19" s="8"/>
      <c r="P19" s="8"/>
      <c r="Q19" s="8"/>
      <c r="R19" s="8"/>
      <c r="S19" s="8"/>
      <c r="T19" s="8"/>
      <c r="U19" s="8"/>
      <c r="V19" s="8"/>
      <c r="W19" s="8"/>
      <c r="X19" s="8" t="s">
        <v>252</v>
      </c>
      <c r="Y19" s="8"/>
      <c r="Z19" s="8"/>
      <c r="AA19" s="8"/>
      <c r="AB19" s="8"/>
      <c r="AC19" s="8"/>
      <c r="AD19" s="8"/>
      <c r="AE19" s="8"/>
      <c r="AF19" s="8" t="s">
        <v>253</v>
      </c>
      <c r="AG19" s="8"/>
      <c r="AH19" s="8"/>
      <c r="AI19" s="8"/>
      <c r="AJ19" s="8"/>
      <c r="AK19" s="8"/>
      <c r="AL19" s="8"/>
      <c r="AM19" s="8"/>
      <c r="AN19" s="8"/>
      <c r="AO19" s="8"/>
      <c r="AP19" s="8"/>
      <c r="AQ19" s="8"/>
      <c r="AR19" s="8"/>
      <c r="AS19" s="8"/>
      <c r="AT19" s="8"/>
      <c r="AU19" s="8"/>
      <c r="AV19" s="8"/>
    </row>
    <row r="20" spans="1:48" ht="21" customHeight="1">
      <c r="A20" s="9" t="s">
        <v>254</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row>
    <row r="21" spans="1:48" ht="10" customHeight="1"/>
    <row r="22" spans="1:48" ht="29" customHeight="1">
      <c r="A22" s="4" t="s">
        <v>255</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ht="30" customHeight="1">
      <c r="A23" s="7" t="s">
        <v>256</v>
      </c>
      <c r="B23" s="7"/>
      <c r="C23" s="7"/>
      <c r="D23" s="7"/>
      <c r="E23" s="7"/>
      <c r="F23" s="7"/>
      <c r="G23" s="7"/>
      <c r="H23" s="7"/>
      <c r="I23" s="7"/>
      <c r="J23" s="7"/>
      <c r="K23" s="7"/>
      <c r="L23" s="7"/>
      <c r="M23" s="7" t="s">
        <v>257</v>
      </c>
      <c r="N23" s="7"/>
      <c r="O23" s="7"/>
      <c r="P23" s="7"/>
      <c r="Q23" s="7"/>
      <c r="R23" s="7"/>
      <c r="S23" s="7"/>
      <c r="T23" s="7"/>
      <c r="U23" s="7"/>
      <c r="V23" s="7"/>
      <c r="W23" s="7"/>
      <c r="X23" s="7"/>
      <c r="Y23" s="7" t="s">
        <v>258</v>
      </c>
      <c r="Z23" s="7"/>
      <c r="AA23" s="7"/>
      <c r="AB23" s="7"/>
      <c r="AC23" s="7"/>
      <c r="AD23" s="7"/>
      <c r="AE23" s="7"/>
      <c r="AF23" s="7" t="s">
        <v>259</v>
      </c>
      <c r="AG23" s="7"/>
      <c r="AH23" s="7"/>
      <c r="AI23" s="7"/>
      <c r="AJ23" s="7"/>
      <c r="AK23" s="7"/>
      <c r="AL23" s="7"/>
      <c r="AM23" s="7"/>
      <c r="AN23" s="7"/>
      <c r="AO23" s="7"/>
      <c r="AP23" s="7"/>
      <c r="AQ23" s="7"/>
      <c r="AR23" s="7"/>
      <c r="AS23" s="7"/>
      <c r="AT23" s="7"/>
      <c r="AU23" s="7"/>
      <c r="AV23" s="7"/>
    </row>
    <row r="24" spans="1:48" ht="46" customHeight="1">
      <c r="A24" s="5" t="s">
        <v>260</v>
      </c>
      <c r="B24" s="5"/>
      <c r="C24" s="5"/>
      <c r="D24" s="5"/>
      <c r="E24" s="5"/>
      <c r="F24" s="5"/>
      <c r="G24" s="5"/>
      <c r="H24" s="5"/>
      <c r="I24" s="5"/>
      <c r="J24" s="5"/>
      <c r="K24" s="5"/>
      <c r="L24" s="5"/>
      <c r="M24" s="5" t="s">
        <v>261</v>
      </c>
      <c r="N24" s="5"/>
      <c r="O24" s="5"/>
      <c r="P24" s="5"/>
      <c r="Q24" s="5"/>
      <c r="R24" s="5"/>
      <c r="S24" s="5"/>
      <c r="T24" s="5"/>
      <c r="U24" s="5"/>
      <c r="V24" s="5"/>
      <c r="W24" s="5"/>
      <c r="X24" s="5"/>
      <c r="Y24" s="5" t="s">
        <v>262</v>
      </c>
      <c r="Z24" s="5"/>
      <c r="AA24" s="5"/>
      <c r="AB24" s="5"/>
      <c r="AC24" s="5"/>
      <c r="AD24" s="5"/>
      <c r="AE24" s="5"/>
      <c r="AF24" s="5" t="s">
        <v>263</v>
      </c>
      <c r="AG24" s="5"/>
      <c r="AH24" s="5"/>
      <c r="AI24" s="5"/>
      <c r="AJ24" s="5"/>
      <c r="AK24" s="5"/>
      <c r="AL24" s="5"/>
      <c r="AM24" s="5"/>
      <c r="AN24" s="5"/>
      <c r="AO24" s="5"/>
      <c r="AP24" s="5"/>
      <c r="AQ24" s="5"/>
      <c r="AR24" s="5"/>
      <c r="AS24" s="5"/>
      <c r="AT24" s="5"/>
      <c r="AU24" s="5"/>
      <c r="AV24" s="5"/>
    </row>
    <row r="25" spans="1:48" ht="46" customHeight="1">
      <c r="A25" s="8" t="s">
        <v>264</v>
      </c>
      <c r="B25" s="8"/>
      <c r="C25" s="8"/>
      <c r="D25" s="8"/>
      <c r="E25" s="8"/>
      <c r="F25" s="8"/>
      <c r="G25" s="8"/>
      <c r="H25" s="8"/>
      <c r="I25" s="8"/>
      <c r="J25" s="8"/>
      <c r="K25" s="8"/>
      <c r="L25" s="8"/>
      <c r="M25" s="8" t="s">
        <v>265</v>
      </c>
      <c r="N25" s="8"/>
      <c r="O25" s="8"/>
      <c r="P25" s="8"/>
      <c r="Q25" s="8"/>
      <c r="R25" s="8"/>
      <c r="S25" s="8"/>
      <c r="T25" s="8"/>
      <c r="U25" s="8"/>
      <c r="V25" s="8"/>
      <c r="W25" s="8"/>
      <c r="X25" s="8"/>
      <c r="Y25" s="8" t="s">
        <v>266</v>
      </c>
      <c r="Z25" s="8"/>
      <c r="AA25" s="8"/>
      <c r="AB25" s="8"/>
      <c r="AC25" s="8"/>
      <c r="AD25" s="8"/>
      <c r="AE25" s="8"/>
      <c r="AF25" s="8" t="s">
        <v>267</v>
      </c>
      <c r="AG25" s="8"/>
      <c r="AH25" s="8"/>
      <c r="AI25" s="8"/>
      <c r="AJ25" s="8"/>
      <c r="AK25" s="8"/>
      <c r="AL25" s="8"/>
      <c r="AM25" s="8"/>
      <c r="AN25" s="8"/>
      <c r="AO25" s="8"/>
      <c r="AP25" s="8"/>
      <c r="AQ25" s="8"/>
      <c r="AR25" s="8"/>
      <c r="AS25" s="8"/>
      <c r="AT25" s="8"/>
      <c r="AU25" s="8"/>
      <c r="AV25" s="8"/>
    </row>
    <row r="26" spans="1:48" ht="29" customHeight="1">
      <c r="A26" s="5" t="s">
        <v>268</v>
      </c>
      <c r="B26" s="5"/>
      <c r="C26" s="5"/>
      <c r="D26" s="5"/>
      <c r="E26" s="5"/>
      <c r="F26" s="5"/>
      <c r="G26" s="5"/>
      <c r="H26" s="5"/>
      <c r="I26" s="5"/>
      <c r="J26" s="5"/>
      <c r="K26" s="5"/>
      <c r="L26" s="5"/>
      <c r="M26" s="5" t="s">
        <v>269</v>
      </c>
      <c r="N26" s="5"/>
      <c r="O26" s="5"/>
      <c r="P26" s="5"/>
      <c r="Q26" s="5"/>
      <c r="R26" s="5"/>
      <c r="S26" s="5"/>
      <c r="T26" s="5"/>
      <c r="U26" s="5"/>
      <c r="V26" s="5"/>
      <c r="W26" s="5"/>
      <c r="X26" s="5"/>
      <c r="Y26" s="5" t="s">
        <v>270</v>
      </c>
      <c r="Z26" s="5"/>
      <c r="AA26" s="5"/>
      <c r="AB26" s="5"/>
      <c r="AC26" s="5"/>
      <c r="AD26" s="5"/>
      <c r="AE26" s="5"/>
      <c r="AF26" s="5" t="s">
        <v>271</v>
      </c>
      <c r="AG26" s="5"/>
      <c r="AH26" s="5"/>
      <c r="AI26" s="5"/>
      <c r="AJ26" s="5"/>
      <c r="AK26" s="5"/>
      <c r="AL26" s="5"/>
      <c r="AM26" s="5"/>
      <c r="AN26" s="5"/>
      <c r="AO26" s="5"/>
      <c r="AP26" s="5"/>
      <c r="AQ26" s="5"/>
      <c r="AR26" s="5"/>
      <c r="AS26" s="5"/>
      <c r="AT26" s="5"/>
      <c r="AU26" s="5"/>
      <c r="AV26" s="5"/>
    </row>
    <row r="27" spans="1:48" ht="29" customHeight="1">
      <c r="A27" s="8" t="s">
        <v>272</v>
      </c>
      <c r="B27" s="8"/>
      <c r="C27" s="8"/>
      <c r="D27" s="8"/>
      <c r="E27" s="8"/>
      <c r="F27" s="8"/>
      <c r="G27" s="8"/>
      <c r="H27" s="8"/>
      <c r="I27" s="8"/>
      <c r="J27" s="8"/>
      <c r="K27" s="8"/>
      <c r="L27" s="8"/>
      <c r="M27" s="8" t="s">
        <v>273</v>
      </c>
      <c r="N27" s="8"/>
      <c r="O27" s="8"/>
      <c r="P27" s="8"/>
      <c r="Q27" s="8"/>
      <c r="R27" s="8"/>
      <c r="S27" s="8"/>
      <c r="T27" s="8"/>
      <c r="U27" s="8"/>
      <c r="V27" s="8"/>
      <c r="W27" s="8"/>
      <c r="X27" s="8"/>
      <c r="Y27" s="8" t="s">
        <v>274</v>
      </c>
      <c r="Z27" s="8"/>
      <c r="AA27" s="8"/>
      <c r="AB27" s="8"/>
      <c r="AC27" s="8"/>
      <c r="AD27" s="8"/>
      <c r="AE27" s="8"/>
      <c r="AF27" s="8" t="s">
        <v>275</v>
      </c>
      <c r="AG27" s="8"/>
      <c r="AH27" s="8"/>
      <c r="AI27" s="8"/>
      <c r="AJ27" s="8"/>
      <c r="AK27" s="8"/>
      <c r="AL27" s="8"/>
      <c r="AM27" s="8"/>
      <c r="AN27" s="8"/>
      <c r="AO27" s="8"/>
      <c r="AP27" s="8"/>
      <c r="AQ27" s="8"/>
      <c r="AR27" s="8"/>
      <c r="AS27" s="8"/>
      <c r="AT27" s="8"/>
      <c r="AU27" s="8"/>
      <c r="AV27" s="8"/>
    </row>
    <row r="28" spans="1:48" ht="46" customHeight="1">
      <c r="A28" s="5" t="s">
        <v>276</v>
      </c>
      <c r="B28" s="5"/>
      <c r="C28" s="5"/>
      <c r="D28" s="5"/>
      <c r="E28" s="5"/>
      <c r="F28" s="5"/>
      <c r="G28" s="5"/>
      <c r="H28" s="5"/>
      <c r="I28" s="5"/>
      <c r="J28" s="5"/>
      <c r="K28" s="5"/>
      <c r="L28" s="5"/>
      <c r="M28" s="5" t="s">
        <v>277</v>
      </c>
      <c r="N28" s="5"/>
      <c r="O28" s="5"/>
      <c r="P28" s="5"/>
      <c r="Q28" s="5"/>
      <c r="R28" s="5"/>
      <c r="S28" s="5"/>
      <c r="T28" s="5"/>
      <c r="U28" s="5"/>
      <c r="V28" s="5"/>
      <c r="W28" s="5"/>
      <c r="X28" s="5"/>
      <c r="Y28" s="5" t="s">
        <v>278</v>
      </c>
      <c r="Z28" s="5"/>
      <c r="AA28" s="5"/>
      <c r="AB28" s="5"/>
      <c r="AC28" s="5"/>
      <c r="AD28" s="5"/>
      <c r="AE28" s="5"/>
      <c r="AF28" s="5" t="s">
        <v>279</v>
      </c>
      <c r="AG28" s="5"/>
      <c r="AH28" s="5"/>
      <c r="AI28" s="5"/>
      <c r="AJ28" s="5"/>
      <c r="AK28" s="5"/>
      <c r="AL28" s="5"/>
      <c r="AM28" s="5"/>
      <c r="AN28" s="5"/>
      <c r="AO28" s="5"/>
      <c r="AP28" s="5"/>
      <c r="AQ28" s="5"/>
      <c r="AR28" s="5"/>
      <c r="AS28" s="5"/>
      <c r="AT28" s="5"/>
      <c r="AU28" s="5"/>
      <c r="AV28" s="5"/>
    </row>
    <row r="29" spans="1:48" ht="29" customHeight="1">
      <c r="A29" s="8" t="s">
        <v>280</v>
      </c>
      <c r="B29" s="8"/>
      <c r="C29" s="8"/>
      <c r="D29" s="8"/>
      <c r="E29" s="8"/>
      <c r="F29" s="8"/>
      <c r="G29" s="8"/>
      <c r="H29" s="8"/>
      <c r="I29" s="8"/>
      <c r="J29" s="8"/>
      <c r="K29" s="8"/>
      <c r="L29" s="8"/>
      <c r="M29" s="8" t="s">
        <v>281</v>
      </c>
      <c r="N29" s="8"/>
      <c r="O29" s="8"/>
      <c r="P29" s="8"/>
      <c r="Q29" s="8"/>
      <c r="R29" s="8"/>
      <c r="S29" s="8"/>
      <c r="T29" s="8"/>
      <c r="U29" s="8"/>
      <c r="V29" s="8"/>
      <c r="W29" s="8"/>
      <c r="X29" s="8"/>
      <c r="Y29" s="8" t="s">
        <v>221</v>
      </c>
      <c r="Z29" s="8"/>
      <c r="AA29" s="8"/>
      <c r="AB29" s="8"/>
      <c r="AC29" s="8"/>
      <c r="AD29" s="8"/>
      <c r="AE29" s="8"/>
      <c r="AF29" s="8" t="s">
        <v>282</v>
      </c>
      <c r="AG29" s="8"/>
      <c r="AH29" s="8"/>
      <c r="AI29" s="8"/>
      <c r="AJ29" s="8"/>
      <c r="AK29" s="8"/>
      <c r="AL29" s="8"/>
      <c r="AM29" s="8"/>
      <c r="AN29" s="8"/>
      <c r="AO29" s="8"/>
      <c r="AP29" s="8"/>
      <c r="AQ29" s="8"/>
      <c r="AR29" s="8"/>
      <c r="AS29" s="8"/>
      <c r="AT29" s="8"/>
      <c r="AU29" s="8"/>
      <c r="AV29" s="8"/>
    </row>
    <row r="30" spans="1:48" ht="29" customHeight="1">
      <c r="A30" s="5" t="s">
        <v>283</v>
      </c>
      <c r="B30" s="5"/>
      <c r="C30" s="5"/>
      <c r="D30" s="5"/>
      <c r="E30" s="5"/>
      <c r="F30" s="5"/>
      <c r="G30" s="5"/>
      <c r="H30" s="5"/>
      <c r="I30" s="5"/>
      <c r="J30" s="5"/>
      <c r="K30" s="5"/>
      <c r="L30" s="5"/>
      <c r="M30" s="5" t="s">
        <v>284</v>
      </c>
      <c r="N30" s="5"/>
      <c r="O30" s="5"/>
      <c r="P30" s="5"/>
      <c r="Q30" s="5"/>
      <c r="R30" s="5"/>
      <c r="S30" s="5"/>
      <c r="T30" s="5"/>
      <c r="U30" s="5"/>
      <c r="V30" s="5"/>
      <c r="W30" s="5"/>
      <c r="X30" s="5"/>
      <c r="Y30" s="5" t="s">
        <v>285</v>
      </c>
      <c r="Z30" s="5"/>
      <c r="AA30" s="5"/>
      <c r="AB30" s="5"/>
      <c r="AC30" s="5"/>
      <c r="AD30" s="5"/>
      <c r="AE30" s="5"/>
      <c r="AF30" s="5" t="s">
        <v>286</v>
      </c>
      <c r="AG30" s="5"/>
      <c r="AH30" s="5"/>
      <c r="AI30" s="5"/>
      <c r="AJ30" s="5"/>
      <c r="AK30" s="5"/>
      <c r="AL30" s="5"/>
      <c r="AM30" s="5"/>
      <c r="AN30" s="5"/>
      <c r="AO30" s="5"/>
      <c r="AP30" s="5"/>
      <c r="AQ30" s="5"/>
      <c r="AR30" s="5"/>
      <c r="AS30" s="5"/>
      <c r="AT30" s="5"/>
      <c r="AU30" s="5"/>
      <c r="AV30" s="5"/>
    </row>
    <row r="31" spans="1:48" ht="29" customHeight="1">
      <c r="A31" s="8" t="s">
        <v>287</v>
      </c>
      <c r="B31" s="8"/>
      <c r="C31" s="8"/>
      <c r="D31" s="8"/>
      <c r="E31" s="8"/>
      <c r="F31" s="8"/>
      <c r="G31" s="8"/>
      <c r="H31" s="8"/>
      <c r="I31" s="8"/>
      <c r="J31" s="8"/>
      <c r="K31" s="8"/>
      <c r="L31" s="8"/>
      <c r="M31" s="8" t="s">
        <v>288</v>
      </c>
      <c r="N31" s="8"/>
      <c r="O31" s="8"/>
      <c r="P31" s="8"/>
      <c r="Q31" s="8"/>
      <c r="R31" s="8"/>
      <c r="S31" s="8"/>
      <c r="T31" s="8"/>
      <c r="U31" s="8"/>
      <c r="V31" s="8"/>
      <c r="W31" s="8"/>
      <c r="X31" s="8"/>
      <c r="Y31" s="8" t="s">
        <v>225</v>
      </c>
      <c r="Z31" s="8"/>
      <c r="AA31" s="8"/>
      <c r="AB31" s="8"/>
      <c r="AC31" s="8"/>
      <c r="AD31" s="8"/>
      <c r="AE31" s="8"/>
      <c r="AF31" s="8" t="s">
        <v>289</v>
      </c>
      <c r="AG31" s="8"/>
      <c r="AH31" s="8"/>
      <c r="AI31" s="8"/>
      <c r="AJ31" s="8"/>
      <c r="AK31" s="8"/>
      <c r="AL31" s="8"/>
      <c r="AM31" s="8"/>
      <c r="AN31" s="8"/>
      <c r="AO31" s="8"/>
      <c r="AP31" s="8"/>
      <c r="AQ31" s="8"/>
      <c r="AR31" s="8"/>
      <c r="AS31" s="8"/>
      <c r="AT31" s="8"/>
      <c r="AU31" s="8"/>
      <c r="AV31" s="8"/>
    </row>
    <row r="32" spans="1:48" ht="29" customHeight="1">
      <c r="A32" s="5" t="s">
        <v>290</v>
      </c>
      <c r="B32" s="5"/>
      <c r="C32" s="5"/>
      <c r="D32" s="5"/>
      <c r="E32" s="5"/>
      <c r="F32" s="5"/>
      <c r="G32" s="5"/>
      <c r="H32" s="5"/>
      <c r="I32" s="5"/>
      <c r="J32" s="5"/>
      <c r="K32" s="5"/>
      <c r="L32" s="5"/>
      <c r="M32" s="5" t="s">
        <v>291</v>
      </c>
      <c r="N32" s="5"/>
      <c r="O32" s="5"/>
      <c r="P32" s="5"/>
      <c r="Q32" s="5"/>
      <c r="R32" s="5"/>
      <c r="S32" s="5"/>
      <c r="T32" s="5"/>
      <c r="U32" s="5"/>
      <c r="V32" s="5"/>
      <c r="W32" s="5"/>
      <c r="X32" s="5"/>
      <c r="Y32" s="5" t="s">
        <v>292</v>
      </c>
      <c r="Z32" s="5"/>
      <c r="AA32" s="5"/>
      <c r="AB32" s="5"/>
      <c r="AC32" s="5"/>
      <c r="AD32" s="5"/>
      <c r="AE32" s="5"/>
      <c r="AF32" s="5" t="s">
        <v>293</v>
      </c>
      <c r="AG32" s="5"/>
      <c r="AH32" s="5"/>
      <c r="AI32" s="5"/>
      <c r="AJ32" s="5"/>
      <c r="AK32" s="5"/>
      <c r="AL32" s="5"/>
      <c r="AM32" s="5"/>
      <c r="AN32" s="5"/>
      <c r="AO32" s="5"/>
      <c r="AP32" s="5"/>
      <c r="AQ32" s="5"/>
      <c r="AR32" s="5"/>
      <c r="AS32" s="5"/>
      <c r="AT32" s="5"/>
      <c r="AU32" s="5"/>
      <c r="AV32" s="5"/>
    </row>
    <row r="33" spans="1:48" ht="29" customHeight="1">
      <c r="A33" s="8" t="s">
        <v>294</v>
      </c>
      <c r="B33" s="8"/>
      <c r="C33" s="8"/>
      <c r="D33" s="8"/>
      <c r="E33" s="8"/>
      <c r="F33" s="8"/>
      <c r="G33" s="8"/>
      <c r="H33" s="8"/>
      <c r="I33" s="8"/>
      <c r="J33" s="8"/>
      <c r="K33" s="8"/>
      <c r="L33" s="8"/>
      <c r="M33" s="8" t="s">
        <v>295</v>
      </c>
      <c r="N33" s="8"/>
      <c r="O33" s="8"/>
      <c r="P33" s="8"/>
      <c r="Q33" s="8"/>
      <c r="R33" s="8"/>
      <c r="S33" s="8"/>
      <c r="T33" s="8"/>
      <c r="U33" s="8"/>
      <c r="V33" s="8"/>
      <c r="W33" s="8"/>
      <c r="X33" s="8"/>
      <c r="Y33" s="8" t="s">
        <v>296</v>
      </c>
      <c r="Z33" s="8"/>
      <c r="AA33" s="8"/>
      <c r="AB33" s="8"/>
      <c r="AC33" s="8"/>
      <c r="AD33" s="8"/>
      <c r="AE33" s="8"/>
      <c r="AF33" s="8" t="s">
        <v>297</v>
      </c>
      <c r="AG33" s="8"/>
      <c r="AH33" s="8"/>
      <c r="AI33" s="8"/>
      <c r="AJ33" s="8"/>
      <c r="AK33" s="8"/>
      <c r="AL33" s="8"/>
      <c r="AM33" s="8"/>
      <c r="AN33" s="8"/>
      <c r="AO33" s="8"/>
      <c r="AP33" s="8"/>
      <c r="AQ33" s="8"/>
      <c r="AR33" s="8"/>
      <c r="AS33" s="8"/>
      <c r="AT33" s="8"/>
      <c r="AU33" s="8"/>
      <c r="AV33" s="8"/>
    </row>
    <row r="34" spans="1:48" ht="46" customHeight="1">
      <c r="A34" s="5" t="s">
        <v>298</v>
      </c>
      <c r="B34" s="5"/>
      <c r="C34" s="5"/>
      <c r="D34" s="5"/>
      <c r="E34" s="5"/>
      <c r="F34" s="5"/>
      <c r="G34" s="5"/>
      <c r="H34" s="5"/>
      <c r="I34" s="5"/>
      <c r="J34" s="5"/>
      <c r="K34" s="5"/>
      <c r="L34" s="5"/>
      <c r="M34" s="5" t="s">
        <v>299</v>
      </c>
      <c r="N34" s="5"/>
      <c r="O34" s="5"/>
      <c r="P34" s="5"/>
      <c r="Q34" s="5"/>
      <c r="R34" s="5"/>
      <c r="S34" s="5"/>
      <c r="T34" s="5"/>
      <c r="U34" s="5"/>
      <c r="V34" s="5"/>
      <c r="W34" s="5"/>
      <c r="X34" s="5"/>
      <c r="Y34" s="5" t="s">
        <v>300</v>
      </c>
      <c r="Z34" s="5"/>
      <c r="AA34" s="5"/>
      <c r="AB34" s="5"/>
      <c r="AC34" s="5"/>
      <c r="AD34" s="5"/>
      <c r="AE34" s="5"/>
      <c r="AF34" s="5" t="s">
        <v>301</v>
      </c>
      <c r="AG34" s="5"/>
      <c r="AH34" s="5"/>
      <c r="AI34" s="5"/>
      <c r="AJ34" s="5"/>
      <c r="AK34" s="5"/>
      <c r="AL34" s="5"/>
      <c r="AM34" s="5"/>
      <c r="AN34" s="5"/>
      <c r="AO34" s="5"/>
      <c r="AP34" s="5"/>
      <c r="AQ34" s="5"/>
      <c r="AR34" s="5"/>
      <c r="AS34" s="5"/>
      <c r="AT34" s="5"/>
      <c r="AU34" s="5"/>
      <c r="AV34" s="5"/>
    </row>
    <row r="35" spans="1:48" ht="29" customHeight="1">
      <c r="A35" s="8" t="s">
        <v>302</v>
      </c>
      <c r="B35" s="8"/>
      <c r="C35" s="8"/>
      <c r="D35" s="8"/>
      <c r="E35" s="8"/>
      <c r="F35" s="8"/>
      <c r="G35" s="8"/>
      <c r="H35" s="8"/>
      <c r="I35" s="8"/>
      <c r="J35" s="8"/>
      <c r="K35" s="8"/>
      <c r="L35" s="8"/>
      <c r="M35" s="8" t="s">
        <v>303</v>
      </c>
      <c r="N35" s="8"/>
      <c r="O35" s="8"/>
      <c r="P35" s="8"/>
      <c r="Q35" s="8"/>
      <c r="R35" s="8"/>
      <c r="S35" s="8"/>
      <c r="T35" s="8"/>
      <c r="U35" s="8"/>
      <c r="V35" s="8"/>
      <c r="W35" s="8"/>
      <c r="X35" s="8"/>
      <c r="Y35" s="8" t="s">
        <v>304</v>
      </c>
      <c r="Z35" s="8"/>
      <c r="AA35" s="8"/>
      <c r="AB35" s="8"/>
      <c r="AC35" s="8"/>
      <c r="AD35" s="8"/>
      <c r="AE35" s="8"/>
      <c r="AF35" s="8" t="s">
        <v>305</v>
      </c>
      <c r="AG35" s="8"/>
      <c r="AH35" s="8"/>
      <c r="AI35" s="8"/>
      <c r="AJ35" s="8"/>
      <c r="AK35" s="8"/>
      <c r="AL35" s="8"/>
      <c r="AM35" s="8"/>
      <c r="AN35" s="8"/>
      <c r="AO35" s="8"/>
      <c r="AP35" s="8"/>
      <c r="AQ35" s="8"/>
      <c r="AR35" s="8"/>
      <c r="AS35" s="8"/>
      <c r="AT35" s="8"/>
      <c r="AU35" s="8"/>
      <c r="AV35" s="8"/>
    </row>
    <row r="36" spans="1:48" ht="21" customHeight="1">
      <c r="A36" s="9" t="s">
        <v>306</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row>
    <row r="37" spans="1:48" ht="10" customHeight="1"/>
    <row r="38" spans="1:48" ht="63" customHeight="1">
      <c r="A38" s="6" t="s">
        <v>307</v>
      </c>
      <c r="B38" s="6"/>
      <c r="C38" s="6"/>
      <c r="D38" s="6"/>
      <c r="E38" s="6"/>
      <c r="F38" s="6"/>
      <c r="G38" s="6"/>
      <c r="H38" s="6"/>
      <c r="I38" s="6"/>
      <c r="J38" s="6"/>
      <c r="K38" s="5" t="s">
        <v>308</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ht="21" customHeight="1">
      <c r="A39" s="9" t="s">
        <v>113</v>
      </c>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row>
    <row r="40" spans="1:48" ht="8" customHeight="1"/>
    <row r="41" spans="1:48" ht="29" customHeight="1">
      <c r="A41" s="4" t="s">
        <v>309</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ht="30" customHeight="1">
      <c r="A42" s="7" t="s">
        <v>310</v>
      </c>
      <c r="B42" s="7"/>
      <c r="C42" s="7"/>
      <c r="D42" s="7"/>
      <c r="E42" s="7"/>
      <c r="F42" s="7"/>
      <c r="G42" s="7"/>
      <c r="H42" s="7"/>
      <c r="I42" s="7" t="s">
        <v>311</v>
      </c>
      <c r="J42" s="7"/>
      <c r="K42" s="7"/>
      <c r="L42" s="7"/>
      <c r="M42" s="7"/>
      <c r="N42" s="7"/>
      <c r="O42" s="7"/>
      <c r="P42" s="7"/>
      <c r="Q42" s="7"/>
      <c r="R42" s="7"/>
      <c r="S42" s="7"/>
      <c r="T42" s="7"/>
      <c r="U42" s="7"/>
      <c r="V42" s="7" t="s">
        <v>312</v>
      </c>
      <c r="W42" s="7"/>
      <c r="X42" s="7"/>
      <c r="Y42" s="7"/>
      <c r="Z42" s="7"/>
      <c r="AA42" s="7"/>
      <c r="AB42" s="7"/>
      <c r="AC42" s="7"/>
      <c r="AD42" s="7"/>
      <c r="AE42" s="7"/>
      <c r="AF42" s="7"/>
      <c r="AG42" s="7"/>
      <c r="AH42" s="7"/>
      <c r="AI42" s="7" t="s">
        <v>313</v>
      </c>
      <c r="AJ42" s="7"/>
      <c r="AK42" s="7"/>
      <c r="AL42" s="7"/>
      <c r="AM42" s="7"/>
      <c r="AN42" s="7"/>
      <c r="AO42" s="7"/>
      <c r="AP42" s="7"/>
      <c r="AQ42" s="7"/>
      <c r="AR42" s="7"/>
      <c r="AS42" s="7"/>
      <c r="AT42" s="7"/>
      <c r="AU42" s="7"/>
      <c r="AV42" s="7"/>
    </row>
    <row r="43" spans="1:48" ht="29" customHeight="1">
      <c r="A43" s="5" t="s">
        <v>314</v>
      </c>
      <c r="B43" s="5"/>
      <c r="C43" s="5"/>
      <c r="D43" s="5"/>
      <c r="E43" s="5"/>
      <c r="F43" s="5"/>
      <c r="G43" s="5"/>
      <c r="H43" s="5"/>
      <c r="I43" s="5" t="s">
        <v>227</v>
      </c>
      <c r="J43" s="5"/>
      <c r="K43" s="5"/>
      <c r="L43" s="5"/>
      <c r="M43" s="5"/>
      <c r="N43" s="5"/>
      <c r="O43" s="5"/>
      <c r="P43" s="5"/>
      <c r="Q43" s="5"/>
      <c r="R43" s="5"/>
      <c r="S43" s="5"/>
      <c r="T43" s="5"/>
      <c r="U43" s="5"/>
      <c r="V43" s="5" t="s">
        <v>315</v>
      </c>
      <c r="W43" s="5"/>
      <c r="X43" s="5"/>
      <c r="Y43" s="5"/>
      <c r="Z43" s="5"/>
      <c r="AA43" s="5"/>
      <c r="AB43" s="5"/>
      <c r="AC43" s="5"/>
      <c r="AD43" s="5"/>
      <c r="AE43" s="5"/>
      <c r="AF43" s="5"/>
      <c r="AG43" s="5"/>
      <c r="AH43" s="5"/>
      <c r="AI43" s="5" t="s">
        <v>316</v>
      </c>
      <c r="AJ43" s="5"/>
      <c r="AK43" s="5"/>
      <c r="AL43" s="5"/>
      <c r="AM43" s="5"/>
      <c r="AN43" s="5"/>
      <c r="AO43" s="5"/>
      <c r="AP43" s="5"/>
      <c r="AQ43" s="5"/>
      <c r="AR43" s="5"/>
      <c r="AS43" s="5"/>
      <c r="AT43" s="5"/>
      <c r="AU43" s="5"/>
      <c r="AV43" s="5"/>
    </row>
    <row r="44" spans="1:48" ht="29" customHeight="1">
      <c r="A44" s="8" t="s">
        <v>317</v>
      </c>
      <c r="B44" s="8"/>
      <c r="C44" s="8"/>
      <c r="D44" s="8"/>
      <c r="E44" s="8"/>
      <c r="F44" s="8"/>
      <c r="G44" s="8"/>
      <c r="H44" s="8"/>
      <c r="I44" s="8" t="s">
        <v>231</v>
      </c>
      <c r="J44" s="8"/>
      <c r="K44" s="8"/>
      <c r="L44" s="8"/>
      <c r="M44" s="8"/>
      <c r="N44" s="8"/>
      <c r="O44" s="8"/>
      <c r="P44" s="8"/>
      <c r="Q44" s="8"/>
      <c r="R44" s="8"/>
      <c r="S44" s="8"/>
      <c r="T44" s="8"/>
      <c r="U44" s="8"/>
      <c r="V44" s="8" t="s">
        <v>318</v>
      </c>
      <c r="W44" s="8"/>
      <c r="X44" s="8"/>
      <c r="Y44" s="8"/>
      <c r="Z44" s="8"/>
      <c r="AA44" s="8"/>
      <c r="AB44" s="8"/>
      <c r="AC44" s="8"/>
      <c r="AD44" s="8"/>
      <c r="AE44" s="8"/>
      <c r="AF44" s="8"/>
      <c r="AG44" s="8"/>
      <c r="AH44" s="8"/>
      <c r="AI44" s="8" t="s">
        <v>319</v>
      </c>
      <c r="AJ44" s="8"/>
      <c r="AK44" s="8"/>
      <c r="AL44" s="8"/>
      <c r="AM44" s="8"/>
      <c r="AN44" s="8"/>
      <c r="AO44" s="8"/>
      <c r="AP44" s="8"/>
      <c r="AQ44" s="8"/>
      <c r="AR44" s="8"/>
      <c r="AS44" s="8"/>
      <c r="AT44" s="8"/>
      <c r="AU44" s="8"/>
      <c r="AV44" s="8"/>
    </row>
    <row r="45" spans="1:48" ht="29" customHeight="1">
      <c r="A45" s="5" t="s">
        <v>320</v>
      </c>
      <c r="B45" s="5"/>
      <c r="C45" s="5"/>
      <c r="D45" s="5"/>
      <c r="E45" s="5"/>
      <c r="F45" s="5"/>
      <c r="G45" s="5"/>
      <c r="H45" s="5"/>
      <c r="I45" s="5" t="s">
        <v>102</v>
      </c>
      <c r="J45" s="5"/>
      <c r="K45" s="5"/>
      <c r="L45" s="5"/>
      <c r="M45" s="5"/>
      <c r="N45" s="5"/>
      <c r="O45" s="5"/>
      <c r="P45" s="5"/>
      <c r="Q45" s="5"/>
      <c r="R45" s="5"/>
      <c r="S45" s="5"/>
      <c r="T45" s="5"/>
      <c r="U45" s="5"/>
      <c r="V45" s="5" t="s">
        <v>321</v>
      </c>
      <c r="W45" s="5"/>
      <c r="X45" s="5"/>
      <c r="Y45" s="5"/>
      <c r="Z45" s="5"/>
      <c r="AA45" s="5"/>
      <c r="AB45" s="5"/>
      <c r="AC45" s="5"/>
      <c r="AD45" s="5"/>
      <c r="AE45" s="5"/>
      <c r="AF45" s="5"/>
      <c r="AG45" s="5"/>
      <c r="AH45" s="5"/>
      <c r="AI45" s="5" t="s">
        <v>322</v>
      </c>
      <c r="AJ45" s="5"/>
      <c r="AK45" s="5"/>
      <c r="AL45" s="5"/>
      <c r="AM45" s="5"/>
      <c r="AN45" s="5"/>
      <c r="AO45" s="5"/>
      <c r="AP45" s="5"/>
      <c r="AQ45" s="5"/>
      <c r="AR45" s="5"/>
      <c r="AS45" s="5"/>
      <c r="AT45" s="5"/>
      <c r="AU45" s="5"/>
      <c r="AV45" s="5"/>
    </row>
    <row r="46" spans="1:48" ht="29" customHeight="1">
      <c r="A46" s="8" t="s">
        <v>323</v>
      </c>
      <c r="B46" s="8"/>
      <c r="C46" s="8"/>
      <c r="D46" s="8"/>
      <c r="E46" s="8"/>
      <c r="F46" s="8"/>
      <c r="G46" s="8"/>
      <c r="H46" s="8"/>
      <c r="I46" s="8" t="s">
        <v>324</v>
      </c>
      <c r="J46" s="8"/>
      <c r="K46" s="8"/>
      <c r="L46" s="8"/>
      <c r="M46" s="8"/>
      <c r="N46" s="8"/>
      <c r="O46" s="8"/>
      <c r="P46" s="8"/>
      <c r="Q46" s="8"/>
      <c r="R46" s="8"/>
      <c r="S46" s="8"/>
      <c r="T46" s="8"/>
      <c r="U46" s="8"/>
      <c r="V46" s="8" t="s">
        <v>324</v>
      </c>
      <c r="W46" s="8"/>
      <c r="X46" s="8"/>
      <c r="Y46" s="8"/>
      <c r="Z46" s="8"/>
      <c r="AA46" s="8"/>
      <c r="AB46" s="8"/>
      <c r="AC46" s="8"/>
      <c r="AD46" s="8"/>
      <c r="AE46" s="8"/>
      <c r="AF46" s="8"/>
      <c r="AG46" s="8"/>
      <c r="AH46" s="8"/>
      <c r="AI46" s="8" t="s">
        <v>325</v>
      </c>
      <c r="AJ46" s="8"/>
      <c r="AK46" s="8"/>
      <c r="AL46" s="8"/>
      <c r="AM46" s="8"/>
      <c r="AN46" s="8"/>
      <c r="AO46" s="8"/>
      <c r="AP46" s="8"/>
      <c r="AQ46" s="8"/>
      <c r="AR46" s="8"/>
      <c r="AS46" s="8"/>
      <c r="AT46" s="8"/>
      <c r="AU46" s="8"/>
      <c r="AV46" s="8"/>
    </row>
    <row r="47" spans="1:48" ht="29" customHeight="1">
      <c r="A47" s="5" t="s">
        <v>326</v>
      </c>
      <c r="B47" s="5"/>
      <c r="C47" s="5"/>
      <c r="D47" s="5"/>
      <c r="E47" s="5"/>
      <c r="F47" s="5"/>
      <c r="G47" s="5"/>
      <c r="H47" s="5"/>
      <c r="I47" s="5" t="s">
        <v>327</v>
      </c>
      <c r="J47" s="5"/>
      <c r="K47" s="5"/>
      <c r="L47" s="5"/>
      <c r="M47" s="5"/>
      <c r="N47" s="5"/>
      <c r="O47" s="5"/>
      <c r="P47" s="5"/>
      <c r="Q47" s="5"/>
      <c r="R47" s="5"/>
      <c r="S47" s="5"/>
      <c r="T47" s="5"/>
      <c r="U47" s="5"/>
      <c r="V47" s="5" t="s">
        <v>328</v>
      </c>
      <c r="W47" s="5"/>
      <c r="X47" s="5"/>
      <c r="Y47" s="5"/>
      <c r="Z47" s="5"/>
      <c r="AA47" s="5"/>
      <c r="AB47" s="5"/>
      <c r="AC47" s="5"/>
      <c r="AD47" s="5"/>
      <c r="AE47" s="5"/>
      <c r="AF47" s="5"/>
      <c r="AG47" s="5"/>
      <c r="AH47" s="5"/>
      <c r="AI47" s="5" t="s">
        <v>329</v>
      </c>
      <c r="AJ47" s="5"/>
      <c r="AK47" s="5"/>
      <c r="AL47" s="5"/>
      <c r="AM47" s="5"/>
      <c r="AN47" s="5"/>
      <c r="AO47" s="5"/>
      <c r="AP47" s="5"/>
      <c r="AQ47" s="5"/>
      <c r="AR47" s="5"/>
      <c r="AS47" s="5"/>
      <c r="AT47" s="5"/>
      <c r="AU47" s="5"/>
      <c r="AV47" s="5"/>
    </row>
    <row r="48" spans="1:48" ht="21" customHeight="1">
      <c r="A48" s="9" t="s">
        <v>330</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row>
    <row r="49" ht="10" customHeight="1"/>
  </sheetData>
  <mergeCells count="142">
    <mergeCell ref="A1:AV1"/>
    <mergeCell ref="A2:AV2"/>
    <mergeCell ref="A3:AV3"/>
    <mergeCell ref="A4:X4"/>
    <mergeCell ref="Y4:AV4"/>
    <mergeCell ref="A6:AV6"/>
    <mergeCell ref="A7:K7"/>
    <mergeCell ref="L7:W7"/>
    <mergeCell ref="X7:AE7"/>
    <mergeCell ref="AF7:AV7"/>
    <mergeCell ref="A8:K8"/>
    <mergeCell ref="L8:W8"/>
    <mergeCell ref="X8:AE8"/>
    <mergeCell ref="AF8:AV8"/>
    <mergeCell ref="A9:K9"/>
    <mergeCell ref="L9:W9"/>
    <mergeCell ref="X9:AE9"/>
    <mergeCell ref="AF9:AV9"/>
    <mergeCell ref="A10:K10"/>
    <mergeCell ref="L10:W10"/>
    <mergeCell ref="X10:AE10"/>
    <mergeCell ref="AF10:AV10"/>
    <mergeCell ref="A11:K11"/>
    <mergeCell ref="L11:W11"/>
    <mergeCell ref="X11:AE11"/>
    <mergeCell ref="AF11:AV11"/>
    <mergeCell ref="A12:K12"/>
    <mergeCell ref="L12:W12"/>
    <mergeCell ref="X12:AE12"/>
    <mergeCell ref="AF12:AV12"/>
    <mergeCell ref="A13:K13"/>
    <mergeCell ref="L13:W13"/>
    <mergeCell ref="X13:AE13"/>
    <mergeCell ref="AF13:AV13"/>
    <mergeCell ref="A14:K14"/>
    <mergeCell ref="L14:W14"/>
    <mergeCell ref="X14:AE14"/>
    <mergeCell ref="AF14:AV14"/>
    <mergeCell ref="A15:K15"/>
    <mergeCell ref="L15:W15"/>
    <mergeCell ref="X15:AE15"/>
    <mergeCell ref="AF15:AV15"/>
    <mergeCell ref="A16:K16"/>
    <mergeCell ref="L16:W16"/>
    <mergeCell ref="X16:AE16"/>
    <mergeCell ref="AF16:AV16"/>
    <mergeCell ref="A17:K17"/>
    <mergeCell ref="L17:W17"/>
    <mergeCell ref="X17:AE17"/>
    <mergeCell ref="AF17:AV17"/>
    <mergeCell ref="A18:K18"/>
    <mergeCell ref="L18:W18"/>
    <mergeCell ref="X18:AE18"/>
    <mergeCell ref="AF18:AV18"/>
    <mergeCell ref="A19:K19"/>
    <mergeCell ref="L19:W19"/>
    <mergeCell ref="X19:AE19"/>
    <mergeCell ref="AF19:AV19"/>
    <mergeCell ref="A20:AV20"/>
    <mergeCell ref="A22:AV22"/>
    <mergeCell ref="A23:L23"/>
    <mergeCell ref="M23:X23"/>
    <mergeCell ref="Y23:AE23"/>
    <mergeCell ref="AF23:AV23"/>
    <mergeCell ref="A24:L24"/>
    <mergeCell ref="M24:X24"/>
    <mergeCell ref="Y24:AE24"/>
    <mergeCell ref="AF24:AV24"/>
    <mergeCell ref="A25:L25"/>
    <mergeCell ref="M25:X25"/>
    <mergeCell ref="Y25:AE25"/>
    <mergeCell ref="AF25:AV25"/>
    <mergeCell ref="A26:L26"/>
    <mergeCell ref="M26:X26"/>
    <mergeCell ref="Y26:AE26"/>
    <mergeCell ref="AF26:AV26"/>
    <mergeCell ref="A27:L27"/>
    <mergeCell ref="M27:X27"/>
    <mergeCell ref="Y27:AE27"/>
    <mergeCell ref="AF27:AV27"/>
    <mergeCell ref="A28:L28"/>
    <mergeCell ref="M28:X28"/>
    <mergeCell ref="Y28:AE28"/>
    <mergeCell ref="AF28:AV28"/>
    <mergeCell ref="A29:L29"/>
    <mergeCell ref="M29:X29"/>
    <mergeCell ref="Y29:AE29"/>
    <mergeCell ref="AF29:AV29"/>
    <mergeCell ref="A30:L30"/>
    <mergeCell ref="M30:X30"/>
    <mergeCell ref="Y30:AE30"/>
    <mergeCell ref="AF30:AV30"/>
    <mergeCell ref="A31:L31"/>
    <mergeCell ref="M31:X31"/>
    <mergeCell ref="Y31:AE31"/>
    <mergeCell ref="AF31:AV31"/>
    <mergeCell ref="A32:L32"/>
    <mergeCell ref="M32:X32"/>
    <mergeCell ref="Y32:AE32"/>
    <mergeCell ref="AF32:AV32"/>
    <mergeCell ref="A33:L33"/>
    <mergeCell ref="M33:X33"/>
    <mergeCell ref="Y33:AE33"/>
    <mergeCell ref="AF33:AV33"/>
    <mergeCell ref="A34:L34"/>
    <mergeCell ref="M34:X34"/>
    <mergeCell ref="Y34:AE34"/>
    <mergeCell ref="AF34:AV34"/>
    <mergeCell ref="A35:L35"/>
    <mergeCell ref="M35:X35"/>
    <mergeCell ref="Y35:AE35"/>
    <mergeCell ref="AF35:AV35"/>
    <mergeCell ref="A36:AV36"/>
    <mergeCell ref="A38:J38"/>
    <mergeCell ref="K38:AV38"/>
    <mergeCell ref="A39:AV39"/>
    <mergeCell ref="A41:AV41"/>
    <mergeCell ref="A42:H42"/>
    <mergeCell ref="I42:U42"/>
    <mergeCell ref="V42:AH42"/>
    <mergeCell ref="AI42:AV42"/>
    <mergeCell ref="A43:H43"/>
    <mergeCell ref="I43:U43"/>
    <mergeCell ref="V43:AH43"/>
    <mergeCell ref="AI43:AV43"/>
    <mergeCell ref="A44:H44"/>
    <mergeCell ref="I44:U44"/>
    <mergeCell ref="V44:AH44"/>
    <mergeCell ref="AI44:AV44"/>
    <mergeCell ref="A45:H45"/>
    <mergeCell ref="I45:U45"/>
    <mergeCell ref="V45:AH45"/>
    <mergeCell ref="AI45:AV45"/>
    <mergeCell ref="A46:H46"/>
    <mergeCell ref="I46:U46"/>
    <mergeCell ref="V46:AH46"/>
    <mergeCell ref="AI46:AV46"/>
    <mergeCell ref="A47:H47"/>
    <mergeCell ref="I47:U47"/>
    <mergeCell ref="V47:AH47"/>
    <mergeCell ref="AI47:AV47"/>
    <mergeCell ref="A48:AV48"/>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5.xml><?xml version="1.0" encoding="utf-8"?>
<worksheet xmlns="http://schemas.openxmlformats.org/spreadsheetml/2006/main" xmlns:r="http://schemas.openxmlformats.org/officeDocument/2006/relationships">
  <sheetPr>
    <tabColor rgb="FF777777"/>
    <pageSetUpPr fitToPage="1"/>
  </sheetPr>
  <dimension ref="A1:AV45"/>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331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332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333</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19" customHeight="1">
      <c r="A7" s="10" t="s">
        <v>334</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row>
    <row r="8" spans="1:48" ht="19" customHeight="1">
      <c r="A8" s="10" t="s">
        <v>335</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row>
    <row r="9" spans="1:48" ht="19" customHeight="1">
      <c r="A9" s="10" t="s">
        <v>336</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row>
    <row r="10" spans="1:48" ht="19" customHeight="1">
      <c r="A10" s="10" t="s">
        <v>337</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row>
    <row r="11" spans="1:48" ht="19" customHeight="1">
      <c r="A11" s="10" t="s">
        <v>338</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row>
    <row r="12" spans="1:48" ht="19" customHeight="1">
      <c r="A12" s="10" t="s">
        <v>336</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row>
    <row r="13" spans="1:48" ht="19" customHeight="1">
      <c r="A13" s="10" t="s">
        <v>339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row>
    <row r="14" spans="1:48" ht="19" customHeight="1">
      <c r="A14" s="10" t="s">
        <v>340</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row>
    <row r="15" spans="1:48" ht="19" customHeight="1">
      <c r="A15" s="10" t="s">
        <v>341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row>
    <row r="16" spans="1:48" ht="19" customHeight="1">
      <c r="A16" s="10" t="s">
        <v>342</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row>
    <row r="17" spans="1:48" ht="21" customHeight="1">
      <c r="A17" s="9" t="s">
        <v>343</v>
      </c>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9" customHeight="1"/>
    <row r="19" spans="1:48" ht="29" customHeight="1">
      <c r="A19" s="4" t="s">
        <v>344</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row>
    <row r="20" spans="1:48" ht="30" customHeight="1">
      <c r="A20" s="7" t="s">
        <v>345</v>
      </c>
      <c r="B20" s="7"/>
      <c r="C20" s="7"/>
      <c r="D20" s="7"/>
      <c r="E20" s="7"/>
      <c r="F20" s="7" t="s">
        <v>346</v>
      </c>
      <c r="G20" s="7"/>
      <c r="H20" s="7"/>
      <c r="I20" s="7"/>
      <c r="J20" s="7"/>
      <c r="K20" s="7"/>
      <c r="L20" s="7"/>
      <c r="M20" s="7"/>
      <c r="N20" s="7"/>
      <c r="O20" s="7"/>
      <c r="P20" s="7"/>
      <c r="Q20" s="7"/>
      <c r="R20" s="7" t="s">
        <v>347</v>
      </c>
      <c r="S20" s="7"/>
      <c r="T20" s="7"/>
      <c r="U20" s="7"/>
      <c r="V20" s="7"/>
      <c r="W20" s="7"/>
      <c r="X20" s="7"/>
      <c r="Y20" s="7"/>
      <c r="Z20" s="7"/>
      <c r="AA20" s="7"/>
      <c r="AB20" s="7"/>
      <c r="AC20" s="7"/>
      <c r="AD20" s="7"/>
      <c r="AE20" s="7"/>
      <c r="AF20" s="7" t="s">
        <v>348</v>
      </c>
      <c r="AG20" s="7"/>
      <c r="AH20" s="7"/>
      <c r="AI20" s="7"/>
      <c r="AJ20" s="7"/>
      <c r="AK20" s="7"/>
      <c r="AL20" s="7"/>
      <c r="AM20" s="7"/>
      <c r="AN20" s="7"/>
      <c r="AO20" s="7"/>
      <c r="AP20" s="7"/>
      <c r="AQ20" s="7"/>
      <c r="AR20" s="7"/>
      <c r="AS20" s="7"/>
      <c r="AT20" s="7"/>
      <c r="AU20" s="7"/>
      <c r="AV20" s="7"/>
    </row>
    <row r="21" spans="1:48" ht="29" customHeight="1">
      <c r="A21" s="5" t="s">
        <v>349</v>
      </c>
      <c r="B21" s="5"/>
      <c r="C21" s="5"/>
      <c r="D21" s="5"/>
      <c r="E21" s="5"/>
      <c r="F21" s="5" t="s">
        <v>350</v>
      </c>
      <c r="G21" s="5"/>
      <c r="H21" s="5"/>
      <c r="I21" s="5"/>
      <c r="J21" s="5"/>
      <c r="K21" s="5"/>
      <c r="L21" s="5"/>
      <c r="M21" s="5"/>
      <c r="N21" s="5"/>
      <c r="O21" s="5"/>
      <c r="P21" s="5"/>
      <c r="Q21" s="5"/>
      <c r="R21" s="5" t="s">
        <v>351</v>
      </c>
      <c r="S21" s="5"/>
      <c r="T21" s="5"/>
      <c r="U21" s="5"/>
      <c r="V21" s="5"/>
      <c r="W21" s="5"/>
      <c r="X21" s="5"/>
      <c r="Y21" s="5"/>
      <c r="Z21" s="5"/>
      <c r="AA21" s="5"/>
      <c r="AB21" s="5"/>
      <c r="AC21" s="5"/>
      <c r="AD21" s="5"/>
      <c r="AE21" s="5"/>
      <c r="AF21" s="5" t="s">
        <v>352</v>
      </c>
      <c r="AG21" s="5"/>
      <c r="AH21" s="5"/>
      <c r="AI21" s="5"/>
      <c r="AJ21" s="5"/>
      <c r="AK21" s="5"/>
      <c r="AL21" s="5"/>
      <c r="AM21" s="5"/>
      <c r="AN21" s="5"/>
      <c r="AO21" s="5"/>
      <c r="AP21" s="5"/>
      <c r="AQ21" s="5"/>
      <c r="AR21" s="5"/>
      <c r="AS21" s="5"/>
      <c r="AT21" s="5"/>
      <c r="AU21" s="5"/>
      <c r="AV21" s="5"/>
    </row>
    <row r="22" spans="1:48" ht="46" customHeight="1">
      <c r="A22" s="8" t="s">
        <v>353</v>
      </c>
      <c r="B22" s="8"/>
      <c r="C22" s="8"/>
      <c r="D22" s="8"/>
      <c r="E22" s="8"/>
      <c r="F22" s="8" t="s">
        <v>354</v>
      </c>
      <c r="G22" s="8"/>
      <c r="H22" s="8"/>
      <c r="I22" s="8"/>
      <c r="J22" s="8"/>
      <c r="K22" s="8"/>
      <c r="L22" s="8"/>
      <c r="M22" s="8"/>
      <c r="N22" s="8"/>
      <c r="O22" s="8"/>
      <c r="P22" s="8"/>
      <c r="Q22" s="8"/>
      <c r="R22" s="8" t="s">
        <v>355</v>
      </c>
      <c r="S22" s="8"/>
      <c r="T22" s="8"/>
      <c r="U22" s="8"/>
      <c r="V22" s="8"/>
      <c r="W22" s="8"/>
      <c r="X22" s="8"/>
      <c r="Y22" s="8"/>
      <c r="Z22" s="8"/>
      <c r="AA22" s="8"/>
      <c r="AB22" s="8"/>
      <c r="AC22" s="8"/>
      <c r="AD22" s="8"/>
      <c r="AE22" s="8"/>
      <c r="AF22" s="8" t="s">
        <v>356</v>
      </c>
      <c r="AG22" s="8"/>
      <c r="AH22" s="8"/>
      <c r="AI22" s="8"/>
      <c r="AJ22" s="8"/>
      <c r="AK22" s="8"/>
      <c r="AL22" s="8"/>
      <c r="AM22" s="8"/>
      <c r="AN22" s="8"/>
      <c r="AO22" s="8"/>
      <c r="AP22" s="8"/>
      <c r="AQ22" s="8"/>
      <c r="AR22" s="8"/>
      <c r="AS22" s="8"/>
      <c r="AT22" s="8"/>
      <c r="AU22" s="8"/>
      <c r="AV22" s="8"/>
    </row>
    <row r="23" spans="1:48" ht="29" customHeight="1">
      <c r="A23" s="5" t="s">
        <v>357</v>
      </c>
      <c r="B23" s="5"/>
      <c r="C23" s="5"/>
      <c r="D23" s="5"/>
      <c r="E23" s="5"/>
      <c r="F23" s="5" t="s">
        <v>358</v>
      </c>
      <c r="G23" s="5"/>
      <c r="H23" s="5"/>
      <c r="I23" s="5"/>
      <c r="J23" s="5"/>
      <c r="K23" s="5"/>
      <c r="L23" s="5"/>
      <c r="M23" s="5"/>
      <c r="N23" s="5"/>
      <c r="O23" s="5"/>
      <c r="P23" s="5"/>
      <c r="Q23" s="5"/>
      <c r="R23" s="5" t="s">
        <v>359</v>
      </c>
      <c r="S23" s="5"/>
      <c r="T23" s="5"/>
      <c r="U23" s="5"/>
      <c r="V23" s="5"/>
      <c r="W23" s="5"/>
      <c r="X23" s="5"/>
      <c r="Y23" s="5"/>
      <c r="Z23" s="5"/>
      <c r="AA23" s="5"/>
      <c r="AB23" s="5"/>
      <c r="AC23" s="5"/>
      <c r="AD23" s="5"/>
      <c r="AE23" s="5"/>
      <c r="AF23" s="5" t="s">
        <v>360</v>
      </c>
      <c r="AG23" s="5"/>
      <c r="AH23" s="5"/>
      <c r="AI23" s="5"/>
      <c r="AJ23" s="5"/>
      <c r="AK23" s="5"/>
      <c r="AL23" s="5"/>
      <c r="AM23" s="5"/>
      <c r="AN23" s="5"/>
      <c r="AO23" s="5"/>
      <c r="AP23" s="5"/>
      <c r="AQ23" s="5"/>
      <c r="AR23" s="5"/>
      <c r="AS23" s="5"/>
      <c r="AT23" s="5"/>
      <c r="AU23" s="5"/>
      <c r="AV23" s="5"/>
    </row>
    <row r="24" spans="1:48" ht="46" customHeight="1">
      <c r="A24" s="8" t="s">
        <v>361</v>
      </c>
      <c r="B24" s="8"/>
      <c r="C24" s="8"/>
      <c r="D24" s="8"/>
      <c r="E24" s="8"/>
      <c r="F24" s="8" t="s">
        <v>362</v>
      </c>
      <c r="G24" s="8"/>
      <c r="H24" s="8"/>
      <c r="I24" s="8"/>
      <c r="J24" s="8"/>
      <c r="K24" s="8"/>
      <c r="L24" s="8"/>
      <c r="M24" s="8"/>
      <c r="N24" s="8"/>
      <c r="O24" s="8"/>
      <c r="P24" s="8"/>
      <c r="Q24" s="8"/>
      <c r="R24" s="8" t="s">
        <v>363</v>
      </c>
      <c r="S24" s="8"/>
      <c r="T24" s="8"/>
      <c r="U24" s="8"/>
      <c r="V24" s="8"/>
      <c r="W24" s="8"/>
      <c r="X24" s="8"/>
      <c r="Y24" s="8"/>
      <c r="Z24" s="8"/>
      <c r="AA24" s="8"/>
      <c r="AB24" s="8"/>
      <c r="AC24" s="8"/>
      <c r="AD24" s="8"/>
      <c r="AE24" s="8"/>
      <c r="AF24" s="8" t="s">
        <v>364</v>
      </c>
      <c r="AG24" s="8"/>
      <c r="AH24" s="8"/>
      <c r="AI24" s="8"/>
      <c r="AJ24" s="8"/>
      <c r="AK24" s="8"/>
      <c r="AL24" s="8"/>
      <c r="AM24" s="8"/>
      <c r="AN24" s="8"/>
      <c r="AO24" s="8"/>
      <c r="AP24" s="8"/>
      <c r="AQ24" s="8"/>
      <c r="AR24" s="8"/>
      <c r="AS24" s="8"/>
      <c r="AT24" s="8"/>
      <c r="AU24" s="8"/>
      <c r="AV24" s="8"/>
    </row>
    <row r="25" spans="1:48" ht="21" customHeight="1">
      <c r="A25" s="9" t="s">
        <v>365</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row>
    <row r="26" spans="1:48" ht="10" customHeight="1"/>
    <row r="27" spans="1:48" ht="63" customHeight="1">
      <c r="A27" s="6" t="s">
        <v>366</v>
      </c>
      <c r="B27" s="6"/>
      <c r="C27" s="6"/>
      <c r="D27" s="6"/>
      <c r="E27" s="6"/>
      <c r="F27" s="6"/>
      <c r="G27" s="6"/>
      <c r="H27" s="6"/>
      <c r="I27" s="6"/>
      <c r="J27" s="6"/>
      <c r="K27" s="5" t="s">
        <v>367</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ht="21" customHeight="1">
      <c r="A28" s="9" t="s">
        <v>56</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row>
    <row r="29" spans="1:48" ht="8" customHeight="1"/>
    <row r="30" spans="1:48" ht="46" customHeight="1">
      <c r="A30" s="6" t="s">
        <v>368</v>
      </c>
      <c r="B30" s="6"/>
      <c r="C30" s="6"/>
      <c r="D30" s="6"/>
      <c r="E30" s="6"/>
      <c r="F30" s="6"/>
      <c r="G30" s="6"/>
      <c r="H30" s="6"/>
      <c r="I30" s="6"/>
      <c r="J30" s="6"/>
      <c r="K30" s="5" t="s">
        <v>369</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ht="21" customHeight="1">
      <c r="A31" s="9" t="s">
        <v>370</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row>
    <row r="32" spans="1:48" ht="8" customHeight="1"/>
    <row r="33" spans="1:48" ht="29" customHeight="1">
      <c r="A33" s="4" t="s">
        <v>371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ht="30" customHeight="1">
      <c r="A34" s="7" t="s">
        <v>372</v>
      </c>
      <c r="B34" s="7"/>
      <c r="C34" s="7"/>
      <c r="D34" s="7"/>
      <c r="E34" s="7"/>
      <c r="F34" s="7"/>
      <c r="G34" s="7"/>
      <c r="H34" s="7"/>
      <c r="I34" s="7"/>
      <c r="J34" s="7"/>
      <c r="K34" s="7"/>
      <c r="L34" s="7"/>
      <c r="M34" s="7" t="s">
        <v>373</v>
      </c>
      <c r="N34" s="7"/>
      <c r="O34" s="7"/>
      <c r="P34" s="7"/>
      <c r="Q34" s="7"/>
      <c r="R34" s="7"/>
      <c r="S34" s="7"/>
      <c r="T34" s="7"/>
      <c r="U34" s="7"/>
      <c r="V34" s="7"/>
      <c r="W34" s="7"/>
      <c r="X34" s="7"/>
      <c r="Y34" s="7"/>
      <c r="Z34" s="7"/>
      <c r="AA34" s="7"/>
      <c r="AB34" s="7"/>
      <c r="AC34" s="7"/>
      <c r="AD34" s="7"/>
      <c r="AE34" s="7"/>
      <c r="AF34" s="7" t="s">
        <v>374</v>
      </c>
      <c r="AG34" s="7"/>
      <c r="AH34" s="7"/>
      <c r="AI34" s="7"/>
      <c r="AJ34" s="7"/>
      <c r="AK34" s="7"/>
      <c r="AL34" s="7"/>
      <c r="AM34" s="7"/>
      <c r="AN34" s="7"/>
      <c r="AO34" s="7"/>
      <c r="AP34" s="7"/>
      <c r="AQ34" s="7"/>
      <c r="AR34" s="7"/>
      <c r="AS34" s="7"/>
      <c r="AT34" s="7"/>
      <c r="AU34" s="7"/>
      <c r="AV34" s="7"/>
    </row>
    <row r="35" spans="1:48" ht="29" customHeight="1">
      <c r="A35" s="5" t="s">
        <v>375</v>
      </c>
      <c r="B35" s="5"/>
      <c r="C35" s="5"/>
      <c r="D35" s="5"/>
      <c r="E35" s="5"/>
      <c r="F35" s="5"/>
      <c r="G35" s="5"/>
      <c r="H35" s="5"/>
      <c r="I35" s="5"/>
      <c r="J35" s="5"/>
      <c r="K35" s="5"/>
      <c r="L35" s="5"/>
      <c r="M35" s="5" t="s">
        <v>376</v>
      </c>
      <c r="N35" s="5"/>
      <c r="O35" s="5"/>
      <c r="P35" s="5"/>
      <c r="Q35" s="5"/>
      <c r="R35" s="5"/>
      <c r="S35" s="5"/>
      <c r="T35" s="5"/>
      <c r="U35" s="5"/>
      <c r="V35" s="5"/>
      <c r="W35" s="5"/>
      <c r="X35" s="5"/>
      <c r="Y35" s="5"/>
      <c r="Z35" s="5"/>
      <c r="AA35" s="5"/>
      <c r="AB35" s="5"/>
      <c r="AC35" s="5"/>
      <c r="AD35" s="5"/>
      <c r="AE35" s="5"/>
      <c r="AF35" s="5" t="s">
        <v>377</v>
      </c>
      <c r="AG35" s="5"/>
      <c r="AH35" s="5"/>
      <c r="AI35" s="5"/>
      <c r="AJ35" s="5"/>
      <c r="AK35" s="5"/>
      <c r="AL35" s="5"/>
      <c r="AM35" s="5"/>
      <c r="AN35" s="5"/>
      <c r="AO35" s="5"/>
      <c r="AP35" s="5"/>
      <c r="AQ35" s="5"/>
      <c r="AR35" s="5"/>
      <c r="AS35" s="5"/>
      <c r="AT35" s="5"/>
      <c r="AU35" s="5"/>
      <c r="AV35" s="5"/>
    </row>
    <row r="36" spans="1:48" ht="29" customHeight="1">
      <c r="A36" s="8" t="s">
        <v>378</v>
      </c>
      <c r="B36" s="8"/>
      <c r="C36" s="8"/>
      <c r="D36" s="8"/>
      <c r="E36" s="8"/>
      <c r="F36" s="8"/>
      <c r="G36" s="8"/>
      <c r="H36" s="8"/>
      <c r="I36" s="8"/>
      <c r="J36" s="8"/>
      <c r="K36" s="8"/>
      <c r="L36" s="8"/>
      <c r="M36" s="8" t="s">
        <v>379</v>
      </c>
      <c r="N36" s="8"/>
      <c r="O36" s="8"/>
      <c r="P36" s="8"/>
      <c r="Q36" s="8"/>
      <c r="R36" s="8"/>
      <c r="S36" s="8"/>
      <c r="T36" s="8"/>
      <c r="U36" s="8"/>
      <c r="V36" s="8"/>
      <c r="W36" s="8"/>
      <c r="X36" s="8"/>
      <c r="Y36" s="8"/>
      <c r="Z36" s="8"/>
      <c r="AA36" s="8"/>
      <c r="AB36" s="8"/>
      <c r="AC36" s="8"/>
      <c r="AD36" s="8"/>
      <c r="AE36" s="8"/>
      <c r="AF36" s="8" t="s">
        <v>380</v>
      </c>
      <c r="AG36" s="8"/>
      <c r="AH36" s="8"/>
      <c r="AI36" s="8"/>
      <c r="AJ36" s="8"/>
      <c r="AK36" s="8"/>
      <c r="AL36" s="8"/>
      <c r="AM36" s="8"/>
      <c r="AN36" s="8"/>
      <c r="AO36" s="8"/>
      <c r="AP36" s="8"/>
      <c r="AQ36" s="8"/>
      <c r="AR36" s="8"/>
      <c r="AS36" s="8"/>
      <c r="AT36" s="8"/>
      <c r="AU36" s="8"/>
      <c r="AV36" s="8"/>
    </row>
    <row r="37" spans="1:48" ht="29" customHeight="1">
      <c r="A37" s="5" t="s">
        <v>381</v>
      </c>
      <c r="B37" s="5"/>
      <c r="C37" s="5"/>
      <c r="D37" s="5"/>
      <c r="E37" s="5"/>
      <c r="F37" s="5"/>
      <c r="G37" s="5"/>
      <c r="H37" s="5"/>
      <c r="I37" s="5"/>
      <c r="J37" s="5"/>
      <c r="K37" s="5"/>
      <c r="L37" s="5"/>
      <c r="M37" s="5" t="s">
        <v>382</v>
      </c>
      <c r="N37" s="5"/>
      <c r="O37" s="5"/>
      <c r="P37" s="5"/>
      <c r="Q37" s="5"/>
      <c r="R37" s="5"/>
      <c r="S37" s="5"/>
      <c r="T37" s="5"/>
      <c r="U37" s="5"/>
      <c r="V37" s="5"/>
      <c r="W37" s="5"/>
      <c r="X37" s="5"/>
      <c r="Y37" s="5"/>
      <c r="Z37" s="5"/>
      <c r="AA37" s="5"/>
      <c r="AB37" s="5"/>
      <c r="AC37" s="5"/>
      <c r="AD37" s="5"/>
      <c r="AE37" s="5"/>
      <c r="AF37" s="5" t="s">
        <v>383</v>
      </c>
      <c r="AG37" s="5"/>
      <c r="AH37" s="5"/>
      <c r="AI37" s="5"/>
      <c r="AJ37" s="5"/>
      <c r="AK37" s="5"/>
      <c r="AL37" s="5"/>
      <c r="AM37" s="5"/>
      <c r="AN37" s="5"/>
      <c r="AO37" s="5"/>
      <c r="AP37" s="5"/>
      <c r="AQ37" s="5"/>
      <c r="AR37" s="5"/>
      <c r="AS37" s="5"/>
      <c r="AT37" s="5"/>
      <c r="AU37" s="5"/>
      <c r="AV37" s="5"/>
    </row>
    <row r="38" spans="1:48" ht="46" customHeight="1">
      <c r="A38" s="8" t="s">
        <v>384</v>
      </c>
      <c r="B38" s="8"/>
      <c r="C38" s="8"/>
      <c r="D38" s="8"/>
      <c r="E38" s="8"/>
      <c r="F38" s="8"/>
      <c r="G38" s="8"/>
      <c r="H38" s="8"/>
      <c r="I38" s="8"/>
      <c r="J38" s="8"/>
      <c r="K38" s="8"/>
      <c r="L38" s="8"/>
      <c r="M38" s="8" t="s">
        <v>385</v>
      </c>
      <c r="N38" s="8"/>
      <c r="O38" s="8"/>
      <c r="P38" s="8"/>
      <c r="Q38" s="8"/>
      <c r="R38" s="8"/>
      <c r="S38" s="8"/>
      <c r="T38" s="8"/>
      <c r="U38" s="8"/>
      <c r="V38" s="8"/>
      <c r="W38" s="8"/>
      <c r="X38" s="8"/>
      <c r="Y38" s="8"/>
      <c r="Z38" s="8"/>
      <c r="AA38" s="8"/>
      <c r="AB38" s="8"/>
      <c r="AC38" s="8"/>
      <c r="AD38" s="8"/>
      <c r="AE38" s="8"/>
      <c r="AF38" s="8" t="s">
        <v>386</v>
      </c>
      <c r="AG38" s="8"/>
      <c r="AH38" s="8"/>
      <c r="AI38" s="8"/>
      <c r="AJ38" s="8"/>
      <c r="AK38" s="8"/>
      <c r="AL38" s="8"/>
      <c r="AM38" s="8"/>
      <c r="AN38" s="8"/>
      <c r="AO38" s="8"/>
      <c r="AP38" s="8"/>
      <c r="AQ38" s="8"/>
      <c r="AR38" s="8"/>
      <c r="AS38" s="8"/>
      <c r="AT38" s="8"/>
      <c r="AU38" s="8"/>
      <c r="AV38" s="8"/>
    </row>
    <row r="39" spans="1:48" ht="29" customHeight="1">
      <c r="A39" s="5" t="s">
        <v>387</v>
      </c>
      <c r="B39" s="5"/>
      <c r="C39" s="5"/>
      <c r="D39" s="5"/>
      <c r="E39" s="5"/>
      <c r="F39" s="5"/>
      <c r="G39" s="5"/>
      <c r="H39" s="5"/>
      <c r="I39" s="5"/>
      <c r="J39" s="5"/>
      <c r="K39" s="5"/>
      <c r="L39" s="5"/>
      <c r="M39" s="5" t="s">
        <v>388</v>
      </c>
      <c r="N39" s="5"/>
      <c r="O39" s="5"/>
      <c r="P39" s="5"/>
      <c r="Q39" s="5"/>
      <c r="R39" s="5"/>
      <c r="S39" s="5"/>
      <c r="T39" s="5"/>
      <c r="U39" s="5"/>
      <c r="V39" s="5"/>
      <c r="W39" s="5"/>
      <c r="X39" s="5"/>
      <c r="Y39" s="5"/>
      <c r="Z39" s="5"/>
      <c r="AA39" s="5"/>
      <c r="AB39" s="5"/>
      <c r="AC39" s="5"/>
      <c r="AD39" s="5"/>
      <c r="AE39" s="5"/>
      <c r="AF39" s="5" t="s">
        <v>389</v>
      </c>
      <c r="AG39" s="5"/>
      <c r="AH39" s="5"/>
      <c r="AI39" s="5"/>
      <c r="AJ39" s="5"/>
      <c r="AK39" s="5"/>
      <c r="AL39" s="5"/>
      <c r="AM39" s="5"/>
      <c r="AN39" s="5"/>
      <c r="AO39" s="5"/>
      <c r="AP39" s="5"/>
      <c r="AQ39" s="5"/>
      <c r="AR39" s="5"/>
      <c r="AS39" s="5"/>
      <c r="AT39" s="5"/>
      <c r="AU39" s="5"/>
      <c r="AV39" s="5"/>
    </row>
    <row r="40" spans="1:48" ht="29" customHeight="1">
      <c r="A40" s="8" t="s">
        <v>390</v>
      </c>
      <c r="B40" s="8"/>
      <c r="C40" s="8"/>
      <c r="D40" s="8"/>
      <c r="E40" s="8"/>
      <c r="F40" s="8"/>
      <c r="G40" s="8"/>
      <c r="H40" s="8"/>
      <c r="I40" s="8"/>
      <c r="J40" s="8"/>
      <c r="K40" s="8"/>
      <c r="L40" s="8"/>
      <c r="M40" s="8" t="s">
        <v>391</v>
      </c>
      <c r="N40" s="8"/>
      <c r="O40" s="8"/>
      <c r="P40" s="8"/>
      <c r="Q40" s="8"/>
      <c r="R40" s="8"/>
      <c r="S40" s="8"/>
      <c r="T40" s="8"/>
      <c r="U40" s="8"/>
      <c r="V40" s="8"/>
      <c r="W40" s="8"/>
      <c r="X40" s="8"/>
      <c r="Y40" s="8"/>
      <c r="Z40" s="8"/>
      <c r="AA40" s="8"/>
      <c r="AB40" s="8"/>
      <c r="AC40" s="8"/>
      <c r="AD40" s="8"/>
      <c r="AE40" s="8"/>
      <c r="AF40" s="8" t="s">
        <v>392</v>
      </c>
      <c r="AG40" s="8"/>
      <c r="AH40" s="8"/>
      <c r="AI40" s="8"/>
      <c r="AJ40" s="8"/>
      <c r="AK40" s="8"/>
      <c r="AL40" s="8"/>
      <c r="AM40" s="8"/>
      <c r="AN40" s="8"/>
      <c r="AO40" s="8"/>
      <c r="AP40" s="8"/>
      <c r="AQ40" s="8"/>
      <c r="AR40" s="8"/>
      <c r="AS40" s="8"/>
      <c r="AT40" s="8"/>
      <c r="AU40" s="8"/>
      <c r="AV40" s="8"/>
    </row>
    <row r="41" spans="1:48" ht="21" customHeight="1">
      <c r="A41" s="9" t="s">
        <v>393</v>
      </c>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row>
    <row r="42" spans="1:48" ht="10" customHeight="1"/>
    <row r="43" spans="1:48" ht="46" customHeight="1">
      <c r="A43" s="6" t="s">
        <v>394</v>
      </c>
      <c r="B43" s="6"/>
      <c r="C43" s="6"/>
      <c r="D43" s="6"/>
      <c r="E43" s="6"/>
      <c r="F43" s="6"/>
      <c r="G43" s="6"/>
      <c r="H43" s="6"/>
      <c r="I43" s="6"/>
      <c r="J43" s="6"/>
      <c r="K43" s="5" t="s">
        <v>395</v>
      </c>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ht="21" customHeight="1">
      <c r="A44" s="9" t="s">
        <v>396</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row>
    <row r="45" spans="1:48" ht="8" customHeight="1"/>
  </sheetData>
  <mergeCells count="71">
    <mergeCell ref="A1:AV1"/>
    <mergeCell ref="A2:AV2"/>
    <mergeCell ref="A3:AV3"/>
    <mergeCell ref="A4:X4"/>
    <mergeCell ref="Y4:AV4"/>
    <mergeCell ref="A6:AV6"/>
    <mergeCell ref="A7:AV7"/>
    <mergeCell ref="A8:AV8"/>
    <mergeCell ref="A9:AV9"/>
    <mergeCell ref="A10:AV10"/>
    <mergeCell ref="A11:AV11"/>
    <mergeCell ref="A12:AV12"/>
    <mergeCell ref="A13:AV13"/>
    <mergeCell ref="A14:AV14"/>
    <mergeCell ref="A15:AV15"/>
    <mergeCell ref="A16:AV16"/>
    <mergeCell ref="A17:AV17"/>
    <mergeCell ref="A19:AV19"/>
    <mergeCell ref="A20:E20"/>
    <mergeCell ref="F20:Q20"/>
    <mergeCell ref="R20:AE20"/>
    <mergeCell ref="AF20:AV20"/>
    <mergeCell ref="A21:E21"/>
    <mergeCell ref="F21:Q21"/>
    <mergeCell ref="R21:AE21"/>
    <mergeCell ref="AF21:AV21"/>
    <mergeCell ref="A22:E22"/>
    <mergeCell ref="F22:Q22"/>
    <mergeCell ref="R22:AE22"/>
    <mergeCell ref="AF22:AV22"/>
    <mergeCell ref="A23:E23"/>
    <mergeCell ref="F23:Q23"/>
    <mergeCell ref="R23:AE23"/>
    <mergeCell ref="AF23:AV23"/>
    <mergeCell ref="A24:E24"/>
    <mergeCell ref="F24:Q24"/>
    <mergeCell ref="R24:AE24"/>
    <mergeCell ref="AF24:AV24"/>
    <mergeCell ref="A25:AV25"/>
    <mergeCell ref="A27:J27"/>
    <mergeCell ref="K27:AV27"/>
    <mergeCell ref="A28:AV28"/>
    <mergeCell ref="A30:J30"/>
    <mergeCell ref="K30:AV30"/>
    <mergeCell ref="A31:AV31"/>
    <mergeCell ref="A33:AV33"/>
    <mergeCell ref="A34:L34"/>
    <mergeCell ref="M34:AE34"/>
    <mergeCell ref="AF34:AV34"/>
    <mergeCell ref="A35:L35"/>
    <mergeCell ref="M35:AE35"/>
    <mergeCell ref="AF35:AV35"/>
    <mergeCell ref="A36:L36"/>
    <mergeCell ref="M36:AE36"/>
    <mergeCell ref="AF36:AV36"/>
    <mergeCell ref="A37:L37"/>
    <mergeCell ref="M37:AE37"/>
    <mergeCell ref="AF37:AV37"/>
    <mergeCell ref="A38:L38"/>
    <mergeCell ref="M38:AE38"/>
    <mergeCell ref="AF38:AV38"/>
    <mergeCell ref="A39:L39"/>
    <mergeCell ref="M39:AE39"/>
    <mergeCell ref="AF39:AV39"/>
    <mergeCell ref="A40:L40"/>
    <mergeCell ref="M40:AE40"/>
    <mergeCell ref="AF40:AV40"/>
    <mergeCell ref="A41:AV41"/>
    <mergeCell ref="A43:J43"/>
    <mergeCell ref="K43:AV43"/>
    <mergeCell ref="A44:AV44"/>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6.xml><?xml version="1.0" encoding="utf-8"?>
<worksheet xmlns="http://schemas.openxmlformats.org/spreadsheetml/2006/main" xmlns:r="http://schemas.openxmlformats.org/officeDocument/2006/relationships">
  <sheetPr>
    <tabColor rgb="FF777777"/>
    <pageSetUpPr fitToPage="1"/>
  </sheetPr>
  <dimension ref="A1:AV63"/>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397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398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399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46" customHeight="1">
      <c r="A7" s="7" t="s">
        <v>400</v>
      </c>
      <c r="B7" s="7"/>
      <c r="C7" s="7"/>
      <c r="D7" s="7"/>
      <c r="E7" s="7"/>
      <c r="F7" s="7"/>
      <c r="G7" s="7"/>
      <c r="H7" s="7"/>
      <c r="I7" s="7"/>
      <c r="J7" s="7"/>
      <c r="K7" s="7"/>
      <c r="L7" s="7"/>
      <c r="M7" s="7"/>
      <c r="N7" s="7" t="s">
        <v>401</v>
      </c>
      <c r="O7" s="7"/>
      <c r="P7" s="7"/>
      <c r="Q7" s="7"/>
      <c r="R7" s="7"/>
      <c r="S7" s="7"/>
      <c r="T7" s="7"/>
      <c r="U7" s="7"/>
      <c r="V7" s="7" t="s">
        <v>402</v>
      </c>
      <c r="W7" s="7"/>
      <c r="X7" s="7"/>
      <c r="Y7" s="7"/>
      <c r="Z7" s="7"/>
      <c r="AA7" s="7"/>
      <c r="AB7" s="7"/>
      <c r="AC7" s="7"/>
      <c r="AD7" s="7"/>
      <c r="AE7" s="7"/>
      <c r="AF7" s="7" t="s">
        <v>403</v>
      </c>
      <c r="AG7" s="7"/>
      <c r="AH7" s="7"/>
      <c r="AI7" s="7"/>
      <c r="AJ7" s="7"/>
      <c r="AK7" s="7" t="s">
        <v>404</v>
      </c>
      <c r="AL7" s="7"/>
      <c r="AM7" s="7"/>
      <c r="AN7" s="7"/>
      <c r="AO7" s="7"/>
      <c r="AP7" s="7"/>
      <c r="AQ7" s="7"/>
      <c r="AR7" s="7"/>
      <c r="AS7" s="7"/>
      <c r="AT7" s="7"/>
      <c r="AU7" s="7"/>
      <c r="AV7" s="7"/>
    </row>
    <row r="8" spans="1:48" ht="29" customHeight="1">
      <c r="A8" s="5" t="s">
        <v>405</v>
      </c>
      <c r="B8" s="5"/>
      <c r="C8" s="5"/>
      <c r="D8" s="5"/>
      <c r="E8" s="5"/>
      <c r="F8" s="5"/>
      <c r="G8" s="5"/>
      <c r="H8" s="5"/>
      <c r="I8" s="5"/>
      <c r="J8" s="5"/>
      <c r="K8" s="5"/>
      <c r="L8" s="5"/>
      <c r="M8" s="5"/>
      <c r="N8" s="5" t="s">
        <v>406</v>
      </c>
      <c r="O8" s="5"/>
      <c r="P8" s="5"/>
      <c r="Q8" s="5"/>
      <c r="R8" s="5"/>
      <c r="S8" s="5"/>
      <c r="T8" s="5"/>
      <c r="U8" s="5"/>
      <c r="V8" s="5" t="s">
        <v>407</v>
      </c>
      <c r="W8" s="5"/>
      <c r="X8" s="5"/>
      <c r="Y8" s="5"/>
      <c r="Z8" s="5"/>
      <c r="AA8" s="5"/>
      <c r="AB8" s="5"/>
      <c r="AC8" s="5"/>
      <c r="AD8" s="5"/>
      <c r="AE8" s="5"/>
      <c r="AF8" s="11">
        <v>300</v>
      </c>
      <c r="AG8" s="11"/>
      <c r="AH8" s="11"/>
      <c r="AI8" s="11"/>
      <c r="AJ8" s="11"/>
      <c r="AK8" s="5" t="s">
        <v>408</v>
      </c>
      <c r="AL8" s="5"/>
      <c r="AM8" s="5"/>
      <c r="AN8" s="5"/>
      <c r="AO8" s="5"/>
      <c r="AP8" s="5"/>
      <c r="AQ8" s="5"/>
      <c r="AR8" s="5"/>
      <c r="AS8" s="5"/>
      <c r="AT8" s="5"/>
      <c r="AU8" s="5"/>
      <c r="AV8" s="5"/>
    </row>
    <row r="9" spans="1:48" ht="29" customHeight="1">
      <c r="A9" s="8" t="s">
        <v>409</v>
      </c>
      <c r="B9" s="8"/>
      <c r="C9" s="8"/>
      <c r="D9" s="8"/>
      <c r="E9" s="8"/>
      <c r="F9" s="8"/>
      <c r="G9" s="8"/>
      <c r="H9" s="8"/>
      <c r="I9" s="8"/>
      <c r="J9" s="8"/>
      <c r="K9" s="8"/>
      <c r="L9" s="8"/>
      <c r="M9" s="8"/>
      <c r="N9" s="8" t="s">
        <v>410</v>
      </c>
      <c r="O9" s="8"/>
      <c r="P9" s="8"/>
      <c r="Q9" s="8"/>
      <c r="R9" s="8"/>
      <c r="S9" s="8"/>
      <c r="T9" s="8"/>
      <c r="U9" s="8"/>
      <c r="V9" s="8" t="s">
        <v>411</v>
      </c>
      <c r="W9" s="8"/>
      <c r="X9" s="8"/>
      <c r="Y9" s="8"/>
      <c r="Z9" s="8"/>
      <c r="AA9" s="8"/>
      <c r="AB9" s="8"/>
      <c r="AC9" s="8"/>
      <c r="AD9" s="8"/>
      <c r="AE9" s="8"/>
      <c r="AF9" s="12">
        <v>150</v>
      </c>
      <c r="AG9" s="12"/>
      <c r="AH9" s="12"/>
      <c r="AI9" s="12"/>
      <c r="AJ9" s="12"/>
      <c r="AK9" s="8" t="s">
        <v>412</v>
      </c>
      <c r="AL9" s="8"/>
      <c r="AM9" s="8"/>
      <c r="AN9" s="8"/>
      <c r="AO9" s="8"/>
      <c r="AP9" s="8"/>
      <c r="AQ9" s="8"/>
      <c r="AR9" s="8"/>
      <c r="AS9" s="8"/>
      <c r="AT9" s="8"/>
      <c r="AU9" s="8"/>
      <c r="AV9" s="8"/>
    </row>
    <row r="10" spans="1:48" ht="29" customHeight="1">
      <c r="A10" s="5" t="s">
        <v>413</v>
      </c>
      <c r="B10" s="5"/>
      <c r="C10" s="5"/>
      <c r="D10" s="5"/>
      <c r="E10" s="5"/>
      <c r="F10" s="5"/>
      <c r="G10" s="5"/>
      <c r="H10" s="5"/>
      <c r="I10" s="5"/>
      <c r="J10" s="5"/>
      <c r="K10" s="5"/>
      <c r="L10" s="5"/>
      <c r="M10" s="5"/>
      <c r="N10" s="5" t="s">
        <v>414</v>
      </c>
      <c r="O10" s="5"/>
      <c r="P10" s="5"/>
      <c r="Q10" s="5"/>
      <c r="R10" s="5"/>
      <c r="S10" s="5"/>
      <c r="T10" s="5"/>
      <c r="U10" s="5"/>
      <c r="V10" s="5" t="s">
        <v>415</v>
      </c>
      <c r="W10" s="5"/>
      <c r="X10" s="5"/>
      <c r="Y10" s="5"/>
      <c r="Z10" s="5"/>
      <c r="AA10" s="5"/>
      <c r="AB10" s="5"/>
      <c r="AC10" s="5"/>
      <c r="AD10" s="5"/>
      <c r="AE10" s="5"/>
      <c r="AF10" s="11">
        <v>300</v>
      </c>
      <c r="AG10" s="11"/>
      <c r="AH10" s="11"/>
      <c r="AI10" s="11"/>
      <c r="AJ10" s="11"/>
      <c r="AK10" s="5" t="s">
        <v>412</v>
      </c>
      <c r="AL10" s="5"/>
      <c r="AM10" s="5"/>
      <c r="AN10" s="5"/>
      <c r="AO10" s="5"/>
      <c r="AP10" s="5"/>
      <c r="AQ10" s="5"/>
      <c r="AR10" s="5"/>
      <c r="AS10" s="5"/>
      <c r="AT10" s="5"/>
      <c r="AU10" s="5"/>
      <c r="AV10" s="5"/>
    </row>
    <row r="11" spans="1:48" ht="29" customHeight="1">
      <c r="A11" s="8" t="s">
        <v>416</v>
      </c>
      <c r="B11" s="8"/>
      <c r="C11" s="8"/>
      <c r="D11" s="8"/>
      <c r="E11" s="8"/>
      <c r="F11" s="8"/>
      <c r="G11" s="8"/>
      <c r="H11" s="8"/>
      <c r="I11" s="8"/>
      <c r="J11" s="8"/>
      <c r="K11" s="8"/>
      <c r="L11" s="8"/>
      <c r="M11" s="8"/>
      <c r="N11" s="8" t="s">
        <v>406</v>
      </c>
      <c r="O11" s="8"/>
      <c r="P11" s="8"/>
      <c r="Q11" s="8"/>
      <c r="R11" s="8"/>
      <c r="S11" s="8"/>
      <c r="T11" s="8"/>
      <c r="U11" s="8"/>
      <c r="V11" s="8" t="s">
        <v>407</v>
      </c>
      <c r="W11" s="8"/>
      <c r="X11" s="8"/>
      <c r="Y11" s="8"/>
      <c r="Z11" s="8"/>
      <c r="AA11" s="8"/>
      <c r="AB11" s="8"/>
      <c r="AC11" s="8"/>
      <c r="AD11" s="8"/>
      <c r="AE11" s="8"/>
      <c r="AF11" s="12">
        <v>600</v>
      </c>
      <c r="AG11" s="12"/>
      <c r="AH11" s="12"/>
      <c r="AI11" s="12"/>
      <c r="AJ11" s="12"/>
      <c r="AK11" s="8" t="s">
        <v>417</v>
      </c>
      <c r="AL11" s="8"/>
      <c r="AM11" s="8"/>
      <c r="AN11" s="8"/>
      <c r="AO11" s="8"/>
      <c r="AP11" s="8"/>
      <c r="AQ11" s="8"/>
      <c r="AR11" s="8"/>
      <c r="AS11" s="8"/>
      <c r="AT11" s="8"/>
      <c r="AU11" s="8"/>
      <c r="AV11" s="8"/>
    </row>
    <row r="12" spans="1:48" ht="29" customHeight="1">
      <c r="A12" s="5" t="s">
        <v>418</v>
      </c>
      <c r="B12" s="5"/>
      <c r="C12" s="5"/>
      <c r="D12" s="5"/>
      <c r="E12" s="5"/>
      <c r="F12" s="5"/>
      <c r="G12" s="5"/>
      <c r="H12" s="5"/>
      <c r="I12" s="5"/>
      <c r="J12" s="5"/>
      <c r="K12" s="5"/>
      <c r="L12" s="5"/>
      <c r="M12" s="5"/>
      <c r="N12" s="5" t="s">
        <v>406</v>
      </c>
      <c r="O12" s="5"/>
      <c r="P12" s="5"/>
      <c r="Q12" s="5"/>
      <c r="R12" s="5"/>
      <c r="S12" s="5"/>
      <c r="T12" s="5"/>
      <c r="U12" s="5"/>
      <c r="V12" s="5" t="s">
        <v>407</v>
      </c>
      <c r="W12" s="5"/>
      <c r="X12" s="5"/>
      <c r="Y12" s="5"/>
      <c r="Z12" s="5"/>
      <c r="AA12" s="5"/>
      <c r="AB12" s="5"/>
      <c r="AC12" s="5"/>
      <c r="AD12" s="5"/>
      <c r="AE12" s="5"/>
      <c r="AF12" s="11">
        <v>300</v>
      </c>
      <c r="AG12" s="11"/>
      <c r="AH12" s="11"/>
      <c r="AI12" s="11"/>
      <c r="AJ12" s="11"/>
      <c r="AK12" s="5" t="s">
        <v>419</v>
      </c>
      <c r="AL12" s="5"/>
      <c r="AM12" s="5"/>
      <c r="AN12" s="5"/>
      <c r="AO12" s="5"/>
      <c r="AP12" s="5"/>
      <c r="AQ12" s="5"/>
      <c r="AR12" s="5"/>
      <c r="AS12" s="5"/>
      <c r="AT12" s="5"/>
      <c r="AU12" s="5"/>
      <c r="AV12" s="5"/>
    </row>
    <row r="13" spans="1:48" ht="29" customHeight="1">
      <c r="A13" s="8" t="s">
        <v>420</v>
      </c>
      <c r="B13" s="8"/>
      <c r="C13" s="8"/>
      <c r="D13" s="8"/>
      <c r="E13" s="8"/>
      <c r="F13" s="8"/>
      <c r="G13" s="8"/>
      <c r="H13" s="8"/>
      <c r="I13" s="8"/>
      <c r="J13" s="8"/>
      <c r="K13" s="8"/>
      <c r="L13" s="8"/>
      <c r="M13" s="8"/>
      <c r="N13" s="8" t="s">
        <v>406</v>
      </c>
      <c r="O13" s="8"/>
      <c r="P13" s="8"/>
      <c r="Q13" s="8"/>
      <c r="R13" s="8"/>
      <c r="S13" s="8"/>
      <c r="T13" s="8"/>
      <c r="U13" s="8"/>
      <c r="V13" s="8" t="s">
        <v>407</v>
      </c>
      <c r="W13" s="8"/>
      <c r="X13" s="8"/>
      <c r="Y13" s="8"/>
      <c r="Z13" s="8"/>
      <c r="AA13" s="8"/>
      <c r="AB13" s="8"/>
      <c r="AC13" s="8"/>
      <c r="AD13" s="8"/>
      <c r="AE13" s="8"/>
      <c r="AF13" s="12">
        <v>300</v>
      </c>
      <c r="AG13" s="12"/>
      <c r="AH13" s="12"/>
      <c r="AI13" s="12"/>
      <c r="AJ13" s="12"/>
      <c r="AK13" s="8" t="s">
        <v>421</v>
      </c>
      <c r="AL13" s="8"/>
      <c r="AM13" s="8"/>
      <c r="AN13" s="8"/>
      <c r="AO13" s="8"/>
      <c r="AP13" s="8"/>
      <c r="AQ13" s="8"/>
      <c r="AR13" s="8"/>
      <c r="AS13" s="8"/>
      <c r="AT13" s="8"/>
      <c r="AU13" s="8"/>
      <c r="AV13" s="8"/>
    </row>
    <row r="14" spans="1:48" ht="29" customHeight="1">
      <c r="A14" s="5" t="s">
        <v>422</v>
      </c>
      <c r="B14" s="5"/>
      <c r="C14" s="5"/>
      <c r="D14" s="5"/>
      <c r="E14" s="5"/>
      <c r="F14" s="5"/>
      <c r="G14" s="5"/>
      <c r="H14" s="5"/>
      <c r="I14" s="5"/>
      <c r="J14" s="5"/>
      <c r="K14" s="5"/>
      <c r="L14" s="5"/>
      <c r="M14" s="5"/>
      <c r="N14" s="5" t="s">
        <v>423</v>
      </c>
      <c r="O14" s="5"/>
      <c r="P14" s="5"/>
      <c r="Q14" s="5"/>
      <c r="R14" s="5"/>
      <c r="S14" s="5"/>
      <c r="T14" s="5"/>
      <c r="U14" s="5"/>
      <c r="V14" s="5" t="s">
        <v>424</v>
      </c>
      <c r="W14" s="5"/>
      <c r="X14" s="5"/>
      <c r="Y14" s="5"/>
      <c r="Z14" s="5"/>
      <c r="AA14" s="5"/>
      <c r="AB14" s="5"/>
      <c r="AC14" s="5"/>
      <c r="AD14" s="5"/>
      <c r="AE14" s="5"/>
      <c r="AF14" s="11">
        <v>420</v>
      </c>
      <c r="AG14" s="11"/>
      <c r="AH14" s="11"/>
      <c r="AI14" s="11"/>
      <c r="AJ14" s="11"/>
      <c r="AK14" s="5" t="s">
        <v>425</v>
      </c>
      <c r="AL14" s="5"/>
      <c r="AM14" s="5"/>
      <c r="AN14" s="5"/>
      <c r="AO14" s="5"/>
      <c r="AP14" s="5"/>
      <c r="AQ14" s="5"/>
      <c r="AR14" s="5"/>
      <c r="AS14" s="5"/>
      <c r="AT14" s="5"/>
      <c r="AU14" s="5"/>
      <c r="AV14" s="5"/>
    </row>
    <row r="15" spans="1:48" ht="29" customHeight="1">
      <c r="A15" s="8" t="s">
        <v>426</v>
      </c>
      <c r="B15" s="8"/>
      <c r="C15" s="8"/>
      <c r="D15" s="8"/>
      <c r="E15" s="8"/>
      <c r="F15" s="8"/>
      <c r="G15" s="8"/>
      <c r="H15" s="8"/>
      <c r="I15" s="8"/>
      <c r="J15" s="8"/>
      <c r="K15" s="8"/>
      <c r="L15" s="8"/>
      <c r="M15" s="8"/>
      <c r="N15" s="8" t="s">
        <v>427</v>
      </c>
      <c r="O15" s="8"/>
      <c r="P15" s="8"/>
      <c r="Q15" s="8"/>
      <c r="R15" s="8"/>
      <c r="S15" s="8"/>
      <c r="T15" s="8"/>
      <c r="U15" s="8"/>
      <c r="V15" s="8" t="s">
        <v>428</v>
      </c>
      <c r="W15" s="8"/>
      <c r="X15" s="8"/>
      <c r="Y15" s="8"/>
      <c r="Z15" s="8"/>
      <c r="AA15" s="8"/>
      <c r="AB15" s="8"/>
      <c r="AC15" s="8"/>
      <c r="AD15" s="8"/>
      <c r="AE15" s="8"/>
      <c r="AF15" s="12">
        <v>450</v>
      </c>
      <c r="AG15" s="12"/>
      <c r="AH15" s="12"/>
      <c r="AI15" s="12"/>
      <c r="AJ15" s="12"/>
      <c r="AK15" s="8" t="s">
        <v>429</v>
      </c>
      <c r="AL15" s="8"/>
      <c r="AM15" s="8"/>
      <c r="AN15" s="8"/>
      <c r="AO15" s="8"/>
      <c r="AP15" s="8"/>
      <c r="AQ15" s="8"/>
      <c r="AR15" s="8"/>
      <c r="AS15" s="8"/>
      <c r="AT15" s="8"/>
      <c r="AU15" s="8"/>
      <c r="AV15" s="8"/>
    </row>
    <row r="16" spans="1:48" ht="10" customHeight="1"/>
    <row r="17" spans="1:48" ht="63" customHeight="1">
      <c r="A17" s="6" t="s">
        <v>430</v>
      </c>
      <c r="B17" s="6"/>
      <c r="C17" s="6"/>
      <c r="D17" s="6"/>
      <c r="E17" s="6"/>
      <c r="F17" s="6"/>
      <c r="G17" s="6"/>
      <c r="H17" s="6"/>
      <c r="I17" s="6"/>
      <c r="J17" s="6"/>
      <c r="K17" s="5" t="s">
        <v>431</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21" customHeight="1">
      <c r="A18" s="9" t="s">
        <v>432</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row>
    <row r="19" spans="1:48" ht="8" customHeight="1"/>
    <row r="20" spans="1:48" ht="29" customHeight="1">
      <c r="A20" s="6" t="s">
        <v>433</v>
      </c>
      <c r="B20" s="6"/>
      <c r="C20" s="6"/>
      <c r="D20" s="6"/>
      <c r="E20" s="6"/>
      <c r="F20" s="6"/>
      <c r="G20" s="6"/>
      <c r="H20" s="6"/>
      <c r="I20" s="6"/>
      <c r="J20" s="6"/>
      <c r="K20" s="5" t="s">
        <v>434</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ht="8" customHeight="1"/>
    <row r="22" spans="1:48" ht="46" customHeight="1">
      <c r="A22" s="6" t="s">
        <v>435</v>
      </c>
      <c r="B22" s="6"/>
      <c r="C22" s="6"/>
      <c r="D22" s="6"/>
      <c r="E22" s="6"/>
      <c r="F22" s="6"/>
      <c r="G22" s="6"/>
      <c r="H22" s="6"/>
      <c r="I22" s="6"/>
      <c r="J22" s="6"/>
      <c r="K22" s="5" t="s">
        <v>436</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ht="8" customHeight="1"/>
    <row r="24" spans="1:48" ht="46" customHeight="1">
      <c r="A24" s="6" t="s">
        <v>437</v>
      </c>
      <c r="B24" s="6"/>
      <c r="C24" s="6"/>
      <c r="D24" s="6"/>
      <c r="E24" s="6"/>
      <c r="F24" s="6"/>
      <c r="G24" s="6"/>
      <c r="H24" s="6"/>
      <c r="I24" s="6"/>
      <c r="J24" s="6"/>
      <c r="K24" s="5" t="s">
        <v>438</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8" customHeight="1"/>
    <row r="26" spans="1:48" ht="46" customHeight="1">
      <c r="A26" s="6" t="s">
        <v>439</v>
      </c>
      <c r="B26" s="6"/>
      <c r="C26" s="6"/>
      <c r="D26" s="6"/>
      <c r="E26" s="6"/>
      <c r="F26" s="6"/>
      <c r="G26" s="6"/>
      <c r="H26" s="6"/>
      <c r="I26" s="6"/>
      <c r="J26" s="6"/>
      <c r="K26" s="5" t="s">
        <v>440</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8" customHeight="1"/>
    <row r="28" spans="1:48" ht="46" customHeight="1">
      <c r="A28" s="6" t="s">
        <v>441</v>
      </c>
      <c r="B28" s="6"/>
      <c r="C28" s="6"/>
      <c r="D28" s="6"/>
      <c r="E28" s="6"/>
      <c r="F28" s="6"/>
      <c r="G28" s="6"/>
      <c r="H28" s="6"/>
      <c r="I28" s="6"/>
      <c r="J28" s="6"/>
      <c r="K28" s="5" t="s">
        <v>442</v>
      </c>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ht="8" customHeight="1"/>
    <row r="30" spans="1:48" ht="46" customHeight="1">
      <c r="A30" s="6" t="s">
        <v>443</v>
      </c>
      <c r="B30" s="6"/>
      <c r="C30" s="6"/>
      <c r="D30" s="6"/>
      <c r="E30" s="6"/>
      <c r="F30" s="6"/>
      <c r="G30" s="6"/>
      <c r="H30" s="6"/>
      <c r="I30" s="6"/>
      <c r="J30" s="6"/>
      <c r="K30" s="5" t="s">
        <v>444</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ht="8" customHeight="1"/>
    <row r="32" spans="1:48" ht="46" customHeight="1">
      <c r="A32" s="6" t="s">
        <v>445</v>
      </c>
      <c r="B32" s="6"/>
      <c r="C32" s="6"/>
      <c r="D32" s="6"/>
      <c r="E32" s="6"/>
      <c r="F32" s="6"/>
      <c r="G32" s="6"/>
      <c r="H32" s="6"/>
      <c r="I32" s="6"/>
      <c r="J32" s="6"/>
      <c r="K32" s="5" t="s">
        <v>446</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ht="8" customHeight="1"/>
    <row r="34" spans="1:48" ht="63" customHeight="1">
      <c r="A34" s="6" t="s">
        <v>447</v>
      </c>
      <c r="B34" s="6"/>
      <c r="C34" s="6"/>
      <c r="D34" s="6"/>
      <c r="E34" s="6"/>
      <c r="F34" s="6"/>
      <c r="G34" s="6"/>
      <c r="H34" s="6"/>
      <c r="I34" s="6"/>
      <c r="J34" s="6"/>
      <c r="K34" s="5" t="s">
        <v>448</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ht="8" customHeight="1"/>
    <row r="36" spans="1:48" ht="46" customHeight="1">
      <c r="A36" s="6" t="s">
        <v>449</v>
      </c>
      <c r="B36" s="6"/>
      <c r="C36" s="6"/>
      <c r="D36" s="6"/>
      <c r="E36" s="6"/>
      <c r="F36" s="6"/>
      <c r="G36" s="6"/>
      <c r="H36" s="6"/>
      <c r="I36" s="6"/>
      <c r="J36" s="6"/>
      <c r="K36" s="5" t="s">
        <v>450</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ht="8" customHeight="1"/>
    <row r="38" spans="1:48" ht="46" customHeight="1">
      <c r="A38" s="6" t="s">
        <v>451</v>
      </c>
      <c r="B38" s="6"/>
      <c r="C38" s="6"/>
      <c r="D38" s="6"/>
      <c r="E38" s="6"/>
      <c r="F38" s="6"/>
      <c r="G38" s="6"/>
      <c r="H38" s="6"/>
      <c r="I38" s="6"/>
      <c r="J38" s="6"/>
      <c r="K38" s="5" t="s">
        <v>452</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ht="8" customHeight="1"/>
    <row r="40" spans="1:48" ht="46" customHeight="1">
      <c r="A40" s="6" t="s">
        <v>453</v>
      </c>
      <c r="B40" s="6"/>
      <c r="C40" s="6"/>
      <c r="D40" s="6"/>
      <c r="E40" s="6"/>
      <c r="F40" s="6"/>
      <c r="G40" s="6"/>
      <c r="H40" s="6"/>
      <c r="I40" s="6"/>
      <c r="J40" s="6"/>
      <c r="K40" s="5" t="s">
        <v>454</v>
      </c>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ht="8" customHeight="1"/>
    <row r="42" spans="1:48" ht="46" customHeight="1">
      <c r="A42" s="6" t="s">
        <v>455</v>
      </c>
      <c r="B42" s="6"/>
      <c r="C42" s="6"/>
      <c r="D42" s="6"/>
      <c r="E42" s="6"/>
      <c r="F42" s="6"/>
      <c r="G42" s="6"/>
      <c r="H42" s="6"/>
      <c r="I42" s="6"/>
      <c r="J42" s="6"/>
      <c r="K42" s="5" t="s">
        <v>456</v>
      </c>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ht="8" customHeight="1"/>
    <row r="44" spans="1:48" ht="46" customHeight="1">
      <c r="A44" s="6" t="s">
        <v>457</v>
      </c>
      <c r="B44" s="6"/>
      <c r="C44" s="6"/>
      <c r="D44" s="6"/>
      <c r="E44" s="6"/>
      <c r="F44" s="6"/>
      <c r="G44" s="6"/>
      <c r="H44" s="6"/>
      <c r="I44" s="6"/>
      <c r="J44" s="6"/>
      <c r="K44" s="5" t="s">
        <v>458</v>
      </c>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ht="8" customHeight="1"/>
    <row r="46" spans="1:48" ht="46" customHeight="1">
      <c r="A46" s="6" t="s">
        <v>459</v>
      </c>
      <c r="B46" s="6"/>
      <c r="C46" s="6"/>
      <c r="D46" s="6"/>
      <c r="E46" s="6"/>
      <c r="F46" s="6"/>
      <c r="G46" s="6"/>
      <c r="H46" s="6"/>
      <c r="I46" s="6"/>
      <c r="J46" s="6"/>
      <c r="K46" s="5" t="s">
        <v>460</v>
      </c>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ht="8" customHeight="1"/>
    <row r="48" spans="1:48" ht="46" customHeight="1">
      <c r="A48" s="6" t="s">
        <v>461</v>
      </c>
      <c r="B48" s="6"/>
      <c r="C48" s="6"/>
      <c r="D48" s="6"/>
      <c r="E48" s="6"/>
      <c r="F48" s="6"/>
      <c r="G48" s="6"/>
      <c r="H48" s="6"/>
      <c r="I48" s="6"/>
      <c r="J48" s="6"/>
      <c r="K48" s="5" t="s">
        <v>462</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ht="8" customHeight="1"/>
    <row r="50" spans="1:48" ht="46" customHeight="1">
      <c r="A50" s="6" t="s">
        <v>463</v>
      </c>
      <c r="B50" s="6"/>
      <c r="C50" s="6"/>
      <c r="D50" s="6"/>
      <c r="E50" s="6"/>
      <c r="F50" s="6"/>
      <c r="G50" s="6"/>
      <c r="H50" s="6"/>
      <c r="I50" s="6"/>
      <c r="J50" s="6"/>
      <c r="K50" s="5" t="s">
        <v>464</v>
      </c>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ht="8" customHeight="1"/>
    <row r="52" spans="1:48" ht="46" customHeight="1">
      <c r="A52" s="6" t="s">
        <v>465</v>
      </c>
      <c r="B52" s="6"/>
      <c r="C52" s="6"/>
      <c r="D52" s="6"/>
      <c r="E52" s="6"/>
      <c r="F52" s="6"/>
      <c r="G52" s="6"/>
      <c r="H52" s="6"/>
      <c r="I52" s="6"/>
      <c r="J52" s="6"/>
      <c r="K52" s="5" t="s">
        <v>466</v>
      </c>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ht="8" customHeight="1"/>
    <row r="54" spans="1:48" ht="46" customHeight="1">
      <c r="A54" s="6" t="s">
        <v>467</v>
      </c>
      <c r="B54" s="6"/>
      <c r="C54" s="6"/>
      <c r="D54" s="6"/>
      <c r="E54" s="6"/>
      <c r="F54" s="6"/>
      <c r="G54" s="6"/>
      <c r="H54" s="6"/>
      <c r="I54" s="6"/>
      <c r="J54" s="6"/>
      <c r="K54" s="5" t="s">
        <v>468</v>
      </c>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ht="8" customHeight="1"/>
    <row r="56" spans="1:48" ht="63" customHeight="1">
      <c r="A56" s="6" t="s">
        <v>469</v>
      </c>
      <c r="B56" s="6"/>
      <c r="C56" s="6"/>
      <c r="D56" s="6"/>
      <c r="E56" s="6"/>
      <c r="F56" s="6"/>
      <c r="G56" s="6"/>
      <c r="H56" s="6"/>
      <c r="I56" s="6"/>
      <c r="J56" s="6"/>
      <c r="K56" s="5" t="s">
        <v>470</v>
      </c>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ht="8" customHeight="1"/>
    <row r="58" spans="1:48" ht="63" customHeight="1">
      <c r="A58" s="6" t="s">
        <v>471</v>
      </c>
      <c r="B58" s="6"/>
      <c r="C58" s="6"/>
      <c r="D58" s="6"/>
      <c r="E58" s="6"/>
      <c r="F58" s="6"/>
      <c r="G58" s="6"/>
      <c r="H58" s="6"/>
      <c r="I58" s="6"/>
      <c r="J58" s="6"/>
      <c r="K58" s="5" t="s">
        <v>472</v>
      </c>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ht="8" customHeight="1"/>
    <row r="60" spans="1:48" ht="63" customHeight="1">
      <c r="A60" s="6" t="s">
        <v>473</v>
      </c>
      <c r="B60" s="6"/>
      <c r="C60" s="6"/>
      <c r="D60" s="6"/>
      <c r="E60" s="6"/>
      <c r="F60" s="6"/>
      <c r="G60" s="6"/>
      <c r="H60" s="6"/>
      <c r="I60" s="6"/>
      <c r="J60" s="6"/>
      <c r="K60" s="5" t="s">
        <v>474</v>
      </c>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ht="8" customHeight="1"/>
    <row r="62" spans="1:48" ht="63" customHeight="1">
      <c r="A62" s="6" t="s">
        <v>475</v>
      </c>
      <c r="B62" s="6"/>
      <c r="C62" s="6"/>
      <c r="D62" s="6"/>
      <c r="E62" s="6"/>
      <c r="F62" s="6"/>
      <c r="G62" s="6"/>
      <c r="H62" s="6"/>
      <c r="I62" s="6"/>
      <c r="J62" s="6"/>
      <c r="K62" s="5" t="s">
        <v>476</v>
      </c>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ht="8" customHeight="1"/>
  </sheetData>
  <mergeCells count="98">
    <mergeCell ref="A1:AV1"/>
    <mergeCell ref="A2:AV2"/>
    <mergeCell ref="A3:AV3"/>
    <mergeCell ref="A4:X4"/>
    <mergeCell ref="Y4:AV4"/>
    <mergeCell ref="A6:AV6"/>
    <mergeCell ref="A7:M7"/>
    <mergeCell ref="N7:U7"/>
    <mergeCell ref="V7:AE7"/>
    <mergeCell ref="AF7:AJ7"/>
    <mergeCell ref="AK7:AV7"/>
    <mergeCell ref="A8:M8"/>
    <mergeCell ref="N8:U8"/>
    <mergeCell ref="V8:AE8"/>
    <mergeCell ref="AF8:AJ8"/>
    <mergeCell ref="AK8:AV8"/>
    <mergeCell ref="A9:M9"/>
    <mergeCell ref="N9:U9"/>
    <mergeCell ref="V9:AE9"/>
    <mergeCell ref="AF9:AJ9"/>
    <mergeCell ref="AK9:AV9"/>
    <mergeCell ref="A10:M10"/>
    <mergeCell ref="N10:U10"/>
    <mergeCell ref="V10:AE10"/>
    <mergeCell ref="AF10:AJ10"/>
    <mergeCell ref="AK10:AV10"/>
    <mergeCell ref="A11:M11"/>
    <mergeCell ref="N11:U11"/>
    <mergeCell ref="V11:AE11"/>
    <mergeCell ref="AF11:AJ11"/>
    <mergeCell ref="AK11:AV11"/>
    <mergeCell ref="A12:M12"/>
    <mergeCell ref="N12:U12"/>
    <mergeCell ref="V12:AE12"/>
    <mergeCell ref="AF12:AJ12"/>
    <mergeCell ref="AK12:AV12"/>
    <mergeCell ref="A13:M13"/>
    <mergeCell ref="N13:U13"/>
    <mergeCell ref="V13:AE13"/>
    <mergeCell ref="AF13:AJ13"/>
    <mergeCell ref="AK13:AV13"/>
    <mergeCell ref="A14:M14"/>
    <mergeCell ref="N14:U14"/>
    <mergeCell ref="V14:AE14"/>
    <mergeCell ref="AF14:AJ14"/>
    <mergeCell ref="AK14:AV14"/>
    <mergeCell ref="A15:M15"/>
    <mergeCell ref="N15:U15"/>
    <mergeCell ref="V15:AE15"/>
    <mergeCell ref="AF15:AJ15"/>
    <mergeCell ref="AK15:AV15"/>
    <mergeCell ref="A17:J17"/>
    <mergeCell ref="K17:AV17"/>
    <mergeCell ref="A18:AV18"/>
    <mergeCell ref="A20:J20"/>
    <mergeCell ref="K20:AV20"/>
    <mergeCell ref="A22:J22"/>
    <mergeCell ref="K22:AV22"/>
    <mergeCell ref="A24:J24"/>
    <mergeCell ref="K24:AV24"/>
    <mergeCell ref="A26:J26"/>
    <mergeCell ref="K26:AV26"/>
    <mergeCell ref="A28:J28"/>
    <mergeCell ref="K28:AV28"/>
    <mergeCell ref="A30:J30"/>
    <mergeCell ref="K30:AV30"/>
    <mergeCell ref="A32:J32"/>
    <mergeCell ref="K32:AV32"/>
    <mergeCell ref="A34:J34"/>
    <mergeCell ref="K34:AV34"/>
    <mergeCell ref="A36:J36"/>
    <mergeCell ref="K36:AV36"/>
    <mergeCell ref="A38:J38"/>
    <mergeCell ref="K38:AV38"/>
    <mergeCell ref="A40:J40"/>
    <mergeCell ref="K40:AV40"/>
    <mergeCell ref="A42:J42"/>
    <mergeCell ref="K42:AV42"/>
    <mergeCell ref="A44:J44"/>
    <mergeCell ref="K44:AV44"/>
    <mergeCell ref="A46:J46"/>
    <mergeCell ref="K46:AV46"/>
    <mergeCell ref="A48:J48"/>
    <mergeCell ref="K48:AV48"/>
    <mergeCell ref="A50:J50"/>
    <mergeCell ref="K50:AV50"/>
    <mergeCell ref="A52:J52"/>
    <mergeCell ref="K52:AV52"/>
    <mergeCell ref="A54:J54"/>
    <mergeCell ref="K54:AV54"/>
    <mergeCell ref="A56:J56"/>
    <mergeCell ref="K56:AV56"/>
    <mergeCell ref="A58:J58"/>
    <mergeCell ref="K58:AV58"/>
    <mergeCell ref="A60:J60"/>
    <mergeCell ref="K60:AV60"/>
    <mergeCell ref="A62:J62"/>
    <mergeCell ref="K62:AV62"/>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7.xml><?xml version="1.0" encoding="utf-8"?>
<worksheet xmlns="http://schemas.openxmlformats.org/spreadsheetml/2006/main" xmlns:r="http://schemas.openxmlformats.org/officeDocument/2006/relationships">
  <sheetPr>
    <tabColor rgb="FF777777"/>
    <pageSetUpPr fitToPage="1"/>
  </sheetPr>
  <dimension ref="A1:I45"/>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8.7109375" customWidth="1"/>
    <col min="2" max="2" width="20.7109375" customWidth="1"/>
    <col min="3" max="3" width="14.7109375" customWidth="1"/>
    <col min="4" max="7" width="10.7109375" customWidth="1"/>
    <col min="8" max="8" width="23.7109375" customWidth="1"/>
    <col min="9" max="9" width="33.7109375" customWidth="1"/>
  </cols>
  <sheetData>
    <row r="1" spans="1:9" ht="40" customHeight="1">
      <c r="A1" s="1" t="s">
        <v>477</v>
      </c>
      <c r="B1" s="1"/>
      <c r="C1" s="1"/>
      <c r="D1" s="1"/>
      <c r="E1" s="1"/>
      <c r="F1" s="1"/>
      <c r="G1" s="1"/>
      <c r="H1" s="1"/>
      <c r="I1" s="1"/>
    </row>
    <row r="2" spans="1:9" ht="25" customHeight="1">
      <c r="A2" s="2" t="s">
        <v>1</v>
      </c>
      <c r="B2" s="2"/>
      <c r="C2" s="2"/>
      <c r="D2" s="2"/>
      <c r="E2" s="2"/>
      <c r="F2" s="2"/>
      <c r="G2" s="2"/>
      <c r="H2" s="2"/>
      <c r="I2" s="2"/>
    </row>
    <row r="3" spans="1:9" ht="32" customHeight="1">
      <c r="A3" s="2" t="s">
        <v>478</v>
      </c>
      <c r="B3" s="2"/>
      <c r="C3" s="2"/>
      <c r="D3" s="2"/>
      <c r="E3" s="2"/>
      <c r="F3" s="2"/>
      <c r="G3" s="2"/>
      <c r="H3" s="2"/>
      <c r="I3" s="2"/>
    </row>
    <row r="4" spans="1:9" ht="22" customHeight="1">
      <c r="A4" s="3" t="s">
        <v>3</v>
      </c>
      <c r="B4" s="3"/>
      <c r="C4" s="3"/>
      <c r="D4" s="3"/>
      <c r="E4" s="3" t="s">
        <v>4</v>
      </c>
      <c r="F4" s="3"/>
      <c r="G4" s="3"/>
      <c r="H4" s="3"/>
      <c r="I4" s="3"/>
    </row>
    <row r="5" spans="1:9" ht="8" customHeight="1"/>
    <row r="6" spans="1:9" ht="29" customHeight="1">
      <c r="A6" s="4" t="s">
        <v>479</v>
      </c>
      <c r="B6" s="4"/>
      <c r="C6" s="4"/>
      <c r="D6" s="4"/>
      <c r="E6" s="4"/>
      <c r="F6" s="4"/>
      <c r="G6" s="4"/>
      <c r="H6" s="4"/>
      <c r="I6" s="4"/>
    </row>
    <row r="7" spans="1:9" ht="30" customHeight="1">
      <c r="A7" s="7" t="s">
        <v>480</v>
      </c>
      <c r="B7" s="7" t="s">
        <v>138</v>
      </c>
      <c r="C7" s="7" t="s">
        <v>174</v>
      </c>
      <c r="D7" s="7" t="s">
        <v>481</v>
      </c>
      <c r="E7" s="7" t="s">
        <v>482</v>
      </c>
      <c r="F7" s="7" t="s">
        <v>483</v>
      </c>
      <c r="G7" s="7" t="s">
        <v>484</v>
      </c>
      <c r="H7" s="7" t="s">
        <v>485</v>
      </c>
      <c r="I7" s="7" t="s">
        <v>231</v>
      </c>
    </row>
    <row r="8" spans="1:9" ht="29" customHeight="1">
      <c r="A8" s="5" t="s">
        <v>486</v>
      </c>
      <c r="B8" s="5" t="s">
        <v>487</v>
      </c>
      <c r="C8" s="5" t="s">
        <v>240</v>
      </c>
      <c r="D8" s="11">
        <v>30</v>
      </c>
      <c r="E8" s="11">
        <v>5</v>
      </c>
      <c r="F8" s="11">
        <v>2</v>
      </c>
      <c r="G8" s="11">
        <v>3</v>
      </c>
      <c r="H8" s="5" t="s">
        <v>488</v>
      </c>
      <c r="I8" s="5" t="s">
        <v>489</v>
      </c>
    </row>
    <row r="9" spans="1:9" ht="29" customHeight="1">
      <c r="A9" s="8" t="s">
        <v>486</v>
      </c>
      <c r="B9" s="8" t="s">
        <v>490</v>
      </c>
      <c r="C9" s="8" t="s">
        <v>240</v>
      </c>
      <c r="D9" s="12">
        <v>210</v>
      </c>
      <c r="E9" s="12">
        <v>10</v>
      </c>
      <c r="F9" s="12">
        <v>5</v>
      </c>
      <c r="G9" s="12">
        <v>3</v>
      </c>
      <c r="H9" s="8" t="s">
        <v>488</v>
      </c>
      <c r="I9" s="8" t="s">
        <v>489</v>
      </c>
    </row>
    <row r="10" spans="1:9" ht="29" customHeight="1">
      <c r="A10" s="5" t="s">
        <v>486</v>
      </c>
      <c r="B10" s="5" t="s">
        <v>491</v>
      </c>
      <c r="C10" s="5" t="s">
        <v>240</v>
      </c>
      <c r="D10" s="11">
        <v>210</v>
      </c>
      <c r="E10" s="11">
        <v>10</v>
      </c>
      <c r="F10" s="11">
        <v>5</v>
      </c>
      <c r="G10" s="11">
        <v>3</v>
      </c>
      <c r="H10" s="5" t="s">
        <v>488</v>
      </c>
      <c r="I10" s="5" t="s">
        <v>489</v>
      </c>
    </row>
    <row r="11" spans="1:9" ht="29" customHeight="1">
      <c r="A11" s="8" t="s">
        <v>486</v>
      </c>
      <c r="B11" s="8" t="s">
        <v>492</v>
      </c>
      <c r="C11" s="8" t="s">
        <v>493</v>
      </c>
      <c r="D11" s="12">
        <v>30</v>
      </c>
      <c r="E11" s="12">
        <v>30</v>
      </c>
      <c r="F11" s="12">
        <v>5</v>
      </c>
      <c r="G11" s="12">
        <v>3</v>
      </c>
      <c r="H11" s="8" t="s">
        <v>488</v>
      </c>
      <c r="I11" s="8" t="s">
        <v>489</v>
      </c>
    </row>
    <row r="12" spans="1:9" ht="29" customHeight="1">
      <c r="A12" s="5" t="s">
        <v>494</v>
      </c>
      <c r="B12" s="5" t="s">
        <v>487</v>
      </c>
      <c r="C12" s="5" t="s">
        <v>240</v>
      </c>
      <c r="D12" s="11">
        <v>30</v>
      </c>
      <c r="E12" s="11">
        <v>5</v>
      </c>
      <c r="F12" s="11">
        <v>2</v>
      </c>
      <c r="G12" s="11">
        <v>3</v>
      </c>
      <c r="H12" s="11">
        <v>120</v>
      </c>
      <c r="I12" s="5" t="s">
        <v>489</v>
      </c>
    </row>
    <row r="13" spans="1:9" ht="29" customHeight="1">
      <c r="A13" s="8" t="s">
        <v>494</v>
      </c>
      <c r="B13" s="8" t="s">
        <v>490</v>
      </c>
      <c r="C13" s="8" t="s">
        <v>240</v>
      </c>
      <c r="D13" s="12">
        <v>90</v>
      </c>
      <c r="E13" s="12">
        <v>10</v>
      </c>
      <c r="F13" s="12">
        <v>5</v>
      </c>
      <c r="G13" s="12">
        <v>3</v>
      </c>
      <c r="H13" s="12">
        <v>120</v>
      </c>
      <c r="I13" s="8" t="s">
        <v>495</v>
      </c>
    </row>
    <row r="14" spans="1:9" ht="29" customHeight="1">
      <c r="A14" s="5" t="s">
        <v>494</v>
      </c>
      <c r="B14" s="5" t="s">
        <v>491</v>
      </c>
      <c r="C14" s="5" t="s">
        <v>240</v>
      </c>
      <c r="D14" s="11">
        <v>60</v>
      </c>
      <c r="E14" s="11">
        <v>10</v>
      </c>
      <c r="F14" s="11">
        <v>5</v>
      </c>
      <c r="G14" s="11">
        <v>3</v>
      </c>
      <c r="H14" s="5" t="s">
        <v>488</v>
      </c>
      <c r="I14" s="5" t="s">
        <v>496</v>
      </c>
    </row>
    <row r="15" spans="1:9" ht="29" customHeight="1">
      <c r="A15" s="8" t="s">
        <v>494</v>
      </c>
      <c r="B15" s="8" t="s">
        <v>492</v>
      </c>
      <c r="C15" s="8" t="s">
        <v>493</v>
      </c>
      <c r="D15" s="12">
        <v>30</v>
      </c>
      <c r="E15" s="12">
        <v>30</v>
      </c>
      <c r="F15" s="12">
        <v>5</v>
      </c>
      <c r="G15" s="12">
        <v>3</v>
      </c>
      <c r="H15" s="8" t="s">
        <v>488</v>
      </c>
      <c r="I15" s="8" t="s">
        <v>489</v>
      </c>
    </row>
    <row r="16" spans="1:9" ht="29" customHeight="1">
      <c r="A16" s="5" t="s">
        <v>497</v>
      </c>
      <c r="B16" s="5" t="s">
        <v>487</v>
      </c>
      <c r="C16" s="5" t="s">
        <v>240</v>
      </c>
      <c r="D16" s="11">
        <v>30</v>
      </c>
      <c r="E16" s="11">
        <v>5</v>
      </c>
      <c r="F16" s="11">
        <v>2</v>
      </c>
      <c r="G16" s="11">
        <v>3</v>
      </c>
      <c r="H16" s="11">
        <v>120</v>
      </c>
      <c r="I16" s="5" t="s">
        <v>489</v>
      </c>
    </row>
    <row r="17" spans="1:9" ht="29" customHeight="1">
      <c r="A17" s="8" t="s">
        <v>497</v>
      </c>
      <c r="B17" s="8" t="s">
        <v>490</v>
      </c>
      <c r="C17" s="8" t="s">
        <v>240</v>
      </c>
      <c r="D17" s="12">
        <v>100</v>
      </c>
      <c r="E17" s="12">
        <v>10</v>
      </c>
      <c r="F17" s="12">
        <v>5</v>
      </c>
      <c r="G17" s="12">
        <v>3</v>
      </c>
      <c r="H17" s="12">
        <v>120</v>
      </c>
      <c r="I17" s="8" t="s">
        <v>495</v>
      </c>
    </row>
    <row r="18" spans="1:9" ht="29" customHeight="1">
      <c r="A18" s="5" t="s">
        <v>497</v>
      </c>
      <c r="B18" s="5" t="s">
        <v>491</v>
      </c>
      <c r="C18" s="5" t="s">
        <v>240</v>
      </c>
      <c r="D18" s="11">
        <v>210</v>
      </c>
      <c r="E18" s="11">
        <v>10</v>
      </c>
      <c r="F18" s="11">
        <v>5</v>
      </c>
      <c r="G18" s="11">
        <v>3</v>
      </c>
      <c r="H18" s="5" t="s">
        <v>488</v>
      </c>
      <c r="I18" s="5" t="s">
        <v>496</v>
      </c>
    </row>
    <row r="19" spans="1:9" ht="29" customHeight="1">
      <c r="A19" s="8" t="s">
        <v>497</v>
      </c>
      <c r="B19" s="8" t="s">
        <v>492</v>
      </c>
      <c r="C19" s="8" t="s">
        <v>493</v>
      </c>
      <c r="D19" s="12">
        <v>30</v>
      </c>
      <c r="E19" s="12">
        <v>30</v>
      </c>
      <c r="F19" s="12">
        <v>5</v>
      </c>
      <c r="G19" s="12">
        <v>3</v>
      </c>
      <c r="H19" s="8" t="s">
        <v>488</v>
      </c>
      <c r="I19" s="8" t="s">
        <v>489</v>
      </c>
    </row>
    <row r="20" spans="1:9" ht="29" customHeight="1">
      <c r="A20" s="5" t="s">
        <v>498</v>
      </c>
      <c r="B20" s="5" t="s">
        <v>487</v>
      </c>
      <c r="C20" s="5" t="s">
        <v>240</v>
      </c>
      <c r="D20" s="11">
        <v>30</v>
      </c>
      <c r="E20" s="11">
        <v>5</v>
      </c>
      <c r="F20" s="11">
        <v>2</v>
      </c>
      <c r="G20" s="11">
        <v>3</v>
      </c>
      <c r="H20" s="11">
        <v>120</v>
      </c>
      <c r="I20" s="5" t="s">
        <v>489</v>
      </c>
    </row>
    <row r="21" spans="1:9" ht="29" customHeight="1">
      <c r="A21" s="8" t="s">
        <v>498</v>
      </c>
      <c r="B21" s="8" t="s">
        <v>490</v>
      </c>
      <c r="C21" s="8" t="s">
        <v>240</v>
      </c>
      <c r="D21" s="12">
        <v>210</v>
      </c>
      <c r="E21" s="12">
        <v>10</v>
      </c>
      <c r="F21" s="12">
        <v>5</v>
      </c>
      <c r="G21" s="12">
        <v>3</v>
      </c>
      <c r="H21" s="12">
        <v>120</v>
      </c>
      <c r="I21" s="8" t="s">
        <v>495</v>
      </c>
    </row>
    <row r="22" spans="1:9" ht="29" customHeight="1">
      <c r="A22" s="5" t="s">
        <v>498</v>
      </c>
      <c r="B22" s="5" t="s">
        <v>491</v>
      </c>
      <c r="C22" s="5" t="s">
        <v>240</v>
      </c>
      <c r="D22" s="11">
        <v>210</v>
      </c>
      <c r="E22" s="11">
        <v>10</v>
      </c>
      <c r="F22" s="11">
        <v>5</v>
      </c>
      <c r="G22" s="11">
        <v>3</v>
      </c>
      <c r="H22" s="5" t="s">
        <v>488</v>
      </c>
      <c r="I22" s="5" t="s">
        <v>496</v>
      </c>
    </row>
    <row r="23" spans="1:9" ht="29" customHeight="1">
      <c r="A23" s="8" t="s">
        <v>498</v>
      </c>
      <c r="B23" s="8" t="s">
        <v>492</v>
      </c>
      <c r="C23" s="8" t="s">
        <v>493</v>
      </c>
      <c r="D23" s="12">
        <v>30</v>
      </c>
      <c r="E23" s="12">
        <v>30</v>
      </c>
      <c r="F23" s="12">
        <v>5</v>
      </c>
      <c r="G23" s="12">
        <v>3</v>
      </c>
      <c r="H23" s="8" t="s">
        <v>488</v>
      </c>
      <c r="I23" s="8" t="s">
        <v>489</v>
      </c>
    </row>
    <row r="24" spans="1:9" ht="29" customHeight="1">
      <c r="A24" s="5" t="s">
        <v>499</v>
      </c>
      <c r="B24" s="5" t="s">
        <v>487</v>
      </c>
      <c r="C24" s="5" t="s">
        <v>240</v>
      </c>
      <c r="D24" s="11">
        <v>30</v>
      </c>
      <c r="E24" s="11">
        <v>5</v>
      </c>
      <c r="F24" s="11">
        <v>2</v>
      </c>
      <c r="G24" s="11">
        <v>3</v>
      </c>
      <c r="H24" s="11">
        <v>120</v>
      </c>
      <c r="I24" s="5" t="s">
        <v>489</v>
      </c>
    </row>
    <row r="25" spans="1:9" ht="29" customHeight="1">
      <c r="A25" s="8" t="s">
        <v>499</v>
      </c>
      <c r="B25" s="8" t="s">
        <v>490</v>
      </c>
      <c r="C25" s="8" t="s">
        <v>240</v>
      </c>
      <c r="D25" s="12">
        <v>210</v>
      </c>
      <c r="E25" s="12">
        <v>10</v>
      </c>
      <c r="F25" s="12">
        <v>5</v>
      </c>
      <c r="G25" s="12">
        <v>3</v>
      </c>
      <c r="H25" s="8" t="s">
        <v>488</v>
      </c>
      <c r="I25" s="8" t="s">
        <v>495</v>
      </c>
    </row>
    <row r="26" spans="1:9" ht="29" customHeight="1">
      <c r="A26" s="5" t="s">
        <v>499</v>
      </c>
      <c r="B26" s="5" t="s">
        <v>491</v>
      </c>
      <c r="C26" s="5" t="s">
        <v>240</v>
      </c>
      <c r="D26" s="11">
        <v>210</v>
      </c>
      <c r="E26" s="11">
        <v>10</v>
      </c>
      <c r="F26" s="11">
        <v>5</v>
      </c>
      <c r="G26" s="11">
        <v>3</v>
      </c>
      <c r="H26" s="5" t="s">
        <v>488</v>
      </c>
      <c r="I26" s="5" t="s">
        <v>495</v>
      </c>
    </row>
    <row r="27" spans="1:9" ht="29" customHeight="1">
      <c r="A27" s="8" t="s">
        <v>499</v>
      </c>
      <c r="B27" s="8" t="s">
        <v>492</v>
      </c>
      <c r="C27" s="8" t="s">
        <v>493</v>
      </c>
      <c r="D27" s="12">
        <v>30</v>
      </c>
      <c r="E27" s="12">
        <v>30</v>
      </c>
      <c r="F27" s="12">
        <v>5</v>
      </c>
      <c r="G27" s="12">
        <v>3</v>
      </c>
      <c r="H27" s="8" t="s">
        <v>488</v>
      </c>
      <c r="I27" s="8" t="s">
        <v>489</v>
      </c>
    </row>
    <row r="28" spans="1:9" ht="29" customHeight="1">
      <c r="A28" s="5" t="s">
        <v>500</v>
      </c>
      <c r="B28" s="5" t="s">
        <v>487</v>
      </c>
      <c r="C28" s="5" t="s">
        <v>240</v>
      </c>
      <c r="D28" s="11">
        <v>30</v>
      </c>
      <c r="E28" s="11">
        <v>5</v>
      </c>
      <c r="F28" s="11">
        <v>2</v>
      </c>
      <c r="G28" s="11">
        <v>3</v>
      </c>
      <c r="H28" s="11">
        <v>120</v>
      </c>
      <c r="I28" s="5" t="s">
        <v>489</v>
      </c>
    </row>
    <row r="29" spans="1:9" ht="29" customHeight="1">
      <c r="A29" s="8" t="s">
        <v>500</v>
      </c>
      <c r="B29" s="8" t="s">
        <v>490</v>
      </c>
      <c r="C29" s="8" t="s">
        <v>240</v>
      </c>
      <c r="D29" s="12">
        <v>210</v>
      </c>
      <c r="E29" s="12">
        <v>10</v>
      </c>
      <c r="F29" s="12">
        <v>5</v>
      </c>
      <c r="G29" s="12">
        <v>3</v>
      </c>
      <c r="H29" s="8" t="s">
        <v>488</v>
      </c>
      <c r="I29" s="8" t="s">
        <v>495</v>
      </c>
    </row>
    <row r="30" spans="1:9" ht="29" customHeight="1">
      <c r="A30" s="5" t="s">
        <v>500</v>
      </c>
      <c r="B30" s="5" t="s">
        <v>491</v>
      </c>
      <c r="C30" s="5" t="s">
        <v>240</v>
      </c>
      <c r="D30" s="11">
        <v>210</v>
      </c>
      <c r="E30" s="11">
        <v>10</v>
      </c>
      <c r="F30" s="11">
        <v>5</v>
      </c>
      <c r="G30" s="11">
        <v>3</v>
      </c>
      <c r="H30" s="5" t="s">
        <v>488</v>
      </c>
      <c r="I30" s="5" t="s">
        <v>501</v>
      </c>
    </row>
    <row r="31" spans="1:9" ht="29" customHeight="1">
      <c r="A31" s="8" t="s">
        <v>500</v>
      </c>
      <c r="B31" s="8" t="s">
        <v>492</v>
      </c>
      <c r="C31" s="8" t="s">
        <v>493</v>
      </c>
      <c r="D31" s="12">
        <v>30</v>
      </c>
      <c r="E31" s="12">
        <v>30</v>
      </c>
      <c r="F31" s="12">
        <v>5</v>
      </c>
      <c r="G31" s="12">
        <v>3</v>
      </c>
      <c r="H31" s="8" t="s">
        <v>488</v>
      </c>
      <c r="I31" s="8" t="s">
        <v>489</v>
      </c>
    </row>
    <row r="32" spans="1:9" ht="29" customHeight="1">
      <c r="A32" s="5" t="s">
        <v>502</v>
      </c>
      <c r="B32" s="5" t="s">
        <v>487</v>
      </c>
      <c r="C32" s="5" t="s">
        <v>240</v>
      </c>
      <c r="D32" s="11">
        <v>30</v>
      </c>
      <c r="E32" s="11">
        <v>5</v>
      </c>
      <c r="F32" s="11">
        <v>2</v>
      </c>
      <c r="G32" s="11">
        <v>3</v>
      </c>
      <c r="H32" s="11">
        <v>120</v>
      </c>
      <c r="I32" s="5" t="s">
        <v>489</v>
      </c>
    </row>
    <row r="33" spans="1:9" ht="29" customHeight="1">
      <c r="A33" s="8" t="s">
        <v>502</v>
      </c>
      <c r="B33" s="8" t="s">
        <v>490</v>
      </c>
      <c r="C33" s="8" t="s">
        <v>240</v>
      </c>
      <c r="D33" s="12">
        <v>300</v>
      </c>
      <c r="E33" s="12">
        <v>10</v>
      </c>
      <c r="F33" s="12">
        <v>5</v>
      </c>
      <c r="G33" s="12">
        <v>3</v>
      </c>
      <c r="H33" s="8" t="s">
        <v>488</v>
      </c>
      <c r="I33" s="8" t="s">
        <v>495</v>
      </c>
    </row>
    <row r="34" spans="1:9" ht="29" customHeight="1">
      <c r="A34" s="5" t="s">
        <v>502</v>
      </c>
      <c r="B34" s="5" t="s">
        <v>491</v>
      </c>
      <c r="C34" s="5" t="s">
        <v>240</v>
      </c>
      <c r="D34" s="11">
        <v>270</v>
      </c>
      <c r="E34" s="11">
        <v>10</v>
      </c>
      <c r="F34" s="11">
        <v>5</v>
      </c>
      <c r="G34" s="11">
        <v>3</v>
      </c>
      <c r="H34" s="5" t="s">
        <v>488</v>
      </c>
      <c r="I34" s="5" t="s">
        <v>495</v>
      </c>
    </row>
    <row r="35" spans="1:9" ht="29" customHeight="1">
      <c r="A35" s="8" t="s">
        <v>502</v>
      </c>
      <c r="B35" s="8" t="s">
        <v>492</v>
      </c>
      <c r="C35" s="8" t="s">
        <v>493</v>
      </c>
      <c r="D35" s="12">
        <v>30</v>
      </c>
      <c r="E35" s="12">
        <v>30</v>
      </c>
      <c r="F35" s="12">
        <v>5</v>
      </c>
      <c r="G35" s="12">
        <v>3</v>
      </c>
      <c r="H35" s="8" t="s">
        <v>488</v>
      </c>
      <c r="I35" s="8" t="s">
        <v>489</v>
      </c>
    </row>
    <row r="36" spans="1:9" ht="29" customHeight="1">
      <c r="A36" s="5" t="s">
        <v>503</v>
      </c>
      <c r="B36" s="5" t="s">
        <v>487</v>
      </c>
      <c r="C36" s="5" t="s">
        <v>240</v>
      </c>
      <c r="D36" s="11">
        <v>30</v>
      </c>
      <c r="E36" s="11">
        <v>5</v>
      </c>
      <c r="F36" s="11">
        <v>2</v>
      </c>
      <c r="G36" s="11">
        <v>3</v>
      </c>
      <c r="H36" s="11">
        <v>120</v>
      </c>
      <c r="I36" s="5" t="s">
        <v>489</v>
      </c>
    </row>
    <row r="37" spans="1:9" ht="29" customHeight="1">
      <c r="A37" s="8" t="s">
        <v>503</v>
      </c>
      <c r="B37" s="8" t="s">
        <v>490</v>
      </c>
      <c r="C37" s="8" t="s">
        <v>240</v>
      </c>
      <c r="D37" s="12">
        <v>210</v>
      </c>
      <c r="E37" s="12">
        <v>10</v>
      </c>
      <c r="F37" s="12">
        <v>5</v>
      </c>
      <c r="G37" s="12">
        <v>3</v>
      </c>
      <c r="H37" s="8" t="s">
        <v>488</v>
      </c>
      <c r="I37" s="8" t="s">
        <v>495</v>
      </c>
    </row>
    <row r="38" spans="1:9" ht="29" customHeight="1">
      <c r="A38" s="5" t="s">
        <v>503</v>
      </c>
      <c r="B38" s="5" t="s">
        <v>491</v>
      </c>
      <c r="C38" s="5" t="s">
        <v>240</v>
      </c>
      <c r="D38" s="11">
        <v>300</v>
      </c>
      <c r="E38" s="11">
        <v>15</v>
      </c>
      <c r="F38" s="11">
        <v>5</v>
      </c>
      <c r="G38" s="11">
        <v>6</v>
      </c>
      <c r="H38" s="5" t="s">
        <v>488</v>
      </c>
      <c r="I38" s="5" t="s">
        <v>495</v>
      </c>
    </row>
    <row r="39" spans="1:9" ht="29" customHeight="1">
      <c r="A39" s="8" t="s">
        <v>503</v>
      </c>
      <c r="B39" s="8" t="s">
        <v>492</v>
      </c>
      <c r="C39" s="8" t="s">
        <v>493</v>
      </c>
      <c r="D39" s="12">
        <v>30</v>
      </c>
      <c r="E39" s="12">
        <v>30</v>
      </c>
      <c r="F39" s="12">
        <v>5</v>
      </c>
      <c r="G39" s="12">
        <v>3</v>
      </c>
      <c r="H39" s="8" t="s">
        <v>488</v>
      </c>
      <c r="I39" s="8" t="s">
        <v>489</v>
      </c>
    </row>
    <row r="40" spans="1:9" ht="10" customHeight="1"/>
    <row r="41" spans="1:9" ht="63" customHeight="1">
      <c r="A41" s="6" t="s">
        <v>504</v>
      </c>
      <c r="B41" s="5" t="s">
        <v>505</v>
      </c>
      <c r="C41" s="5"/>
      <c r="D41" s="5"/>
      <c r="E41" s="5"/>
      <c r="F41" s="5"/>
      <c r="G41" s="5"/>
      <c r="H41" s="5"/>
      <c r="I41" s="5"/>
    </row>
    <row r="42" spans="1:9" ht="8" customHeight="1"/>
    <row r="43" spans="1:9" ht="114" customHeight="1">
      <c r="A43" s="6" t="s">
        <v>506</v>
      </c>
      <c r="B43" s="5" t="s">
        <v>507</v>
      </c>
      <c r="C43" s="5"/>
      <c r="D43" s="5"/>
      <c r="E43" s="5"/>
      <c r="F43" s="5"/>
      <c r="G43" s="5"/>
      <c r="H43" s="5"/>
      <c r="I43" s="5"/>
    </row>
    <row r="44" spans="1:9" ht="21" customHeight="1">
      <c r="A44" s="9" t="s">
        <v>508</v>
      </c>
      <c r="B44" s="9"/>
      <c r="C44" s="9"/>
      <c r="D44" s="9"/>
      <c r="E44" s="9"/>
      <c r="F44" s="9"/>
      <c r="G44" s="9"/>
      <c r="H44" s="9"/>
      <c r="I44" s="9"/>
    </row>
    <row r="45" spans="1:9" ht="8" customHeight="1"/>
  </sheetData>
  <autoFilter ref="A7:I39"/>
  <mergeCells count="9">
    <mergeCell ref="A1:I1"/>
    <mergeCell ref="A2:I2"/>
    <mergeCell ref="A3:I3"/>
    <mergeCell ref="A4:D4"/>
    <mergeCell ref="E4:I4"/>
    <mergeCell ref="A6:I6"/>
    <mergeCell ref="B41:I41"/>
    <mergeCell ref="B43:I43"/>
    <mergeCell ref="A44:I44"/>
  </mergeCells>
  <hyperlinks>
    <hyperlink ref="A4" location="'00_結論と読み方'!A1" display="目次へ"/>
    <hyperlink ref="E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8.xml><?xml version="1.0" encoding="utf-8"?>
<worksheet xmlns="http://schemas.openxmlformats.org/spreadsheetml/2006/main" xmlns:r="http://schemas.openxmlformats.org/officeDocument/2006/relationships">
  <sheetPr>
    <tabColor rgb="FF777777"/>
    <pageSetUpPr fitToPage="1"/>
  </sheetPr>
  <dimension ref="A1:AV30"/>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509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510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511</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480</v>
      </c>
      <c r="B7" s="7"/>
      <c r="C7" s="7"/>
      <c r="D7" s="7"/>
      <c r="E7" s="7" t="s">
        <v>512</v>
      </c>
      <c r="F7" s="7"/>
      <c r="G7" s="7"/>
      <c r="H7" s="7"/>
      <c r="I7" s="7" t="s">
        <v>513</v>
      </c>
      <c r="J7" s="7"/>
      <c r="K7" s="7"/>
      <c r="L7" s="7"/>
      <c r="M7" s="7"/>
      <c r="N7" s="7"/>
      <c r="O7" s="7"/>
      <c r="P7" s="7"/>
      <c r="Q7" s="7" t="s">
        <v>514</v>
      </c>
      <c r="R7" s="7"/>
      <c r="S7" s="7"/>
      <c r="T7" s="7"/>
      <c r="U7" s="7"/>
      <c r="V7" s="7"/>
      <c r="W7" s="7"/>
      <c r="X7" s="7"/>
      <c r="Y7" s="7"/>
      <c r="Z7" s="7"/>
      <c r="AA7" s="7"/>
      <c r="AB7" s="7"/>
      <c r="AC7" s="7"/>
      <c r="AD7" s="7" t="s">
        <v>515</v>
      </c>
      <c r="AE7" s="7"/>
      <c r="AF7" s="7"/>
      <c r="AG7" s="7"/>
      <c r="AH7" s="7"/>
      <c r="AI7" s="7"/>
      <c r="AJ7" s="7"/>
      <c r="AK7" s="7"/>
      <c r="AL7" s="7"/>
      <c r="AM7" s="7"/>
      <c r="AN7" s="7"/>
      <c r="AO7" s="7"/>
      <c r="AP7" s="7"/>
      <c r="AQ7" s="7"/>
      <c r="AR7" s="7"/>
      <c r="AS7" s="7"/>
      <c r="AT7" s="7"/>
      <c r="AU7" s="7"/>
      <c r="AV7" s="7"/>
    </row>
    <row r="8" spans="1:48" ht="29" customHeight="1">
      <c r="A8" s="5" t="s">
        <v>486</v>
      </c>
      <c r="B8" s="5"/>
      <c r="C8" s="5"/>
      <c r="D8" s="5"/>
      <c r="E8" s="11">
        <v>300</v>
      </c>
      <c r="F8" s="11"/>
      <c r="G8" s="11"/>
      <c r="H8" s="11"/>
      <c r="I8" s="5" t="s">
        <v>516</v>
      </c>
      <c r="J8" s="5"/>
      <c r="K8" s="5"/>
      <c r="L8" s="5"/>
      <c r="M8" s="5"/>
      <c r="N8" s="5"/>
      <c r="O8" s="5"/>
      <c r="P8" s="5"/>
      <c r="Q8" s="5" t="s">
        <v>517</v>
      </c>
      <c r="R8" s="5"/>
      <c r="S8" s="5"/>
      <c r="T8" s="5"/>
      <c r="U8" s="5"/>
      <c r="V8" s="5"/>
      <c r="W8" s="5"/>
      <c r="X8" s="5"/>
      <c r="Y8" s="5"/>
      <c r="Z8" s="5"/>
      <c r="AA8" s="5"/>
      <c r="AB8" s="5"/>
      <c r="AC8" s="5"/>
      <c r="AD8" s="5" t="s">
        <v>408</v>
      </c>
      <c r="AE8" s="5"/>
      <c r="AF8" s="5"/>
      <c r="AG8" s="5"/>
      <c r="AH8" s="5"/>
      <c r="AI8" s="5"/>
      <c r="AJ8" s="5"/>
      <c r="AK8" s="5"/>
      <c r="AL8" s="5"/>
      <c r="AM8" s="5"/>
      <c r="AN8" s="5"/>
      <c r="AO8" s="5"/>
      <c r="AP8" s="5"/>
      <c r="AQ8" s="5"/>
      <c r="AR8" s="5"/>
      <c r="AS8" s="5"/>
      <c r="AT8" s="5"/>
      <c r="AU8" s="5"/>
      <c r="AV8" s="5"/>
    </row>
    <row r="9" spans="1:48" ht="29" customHeight="1">
      <c r="A9" s="8" t="s">
        <v>494</v>
      </c>
      <c r="B9" s="8"/>
      <c r="C9" s="8"/>
      <c r="D9" s="8"/>
      <c r="E9" s="12">
        <v>150</v>
      </c>
      <c r="F9" s="12"/>
      <c r="G9" s="12"/>
      <c r="H9" s="12"/>
      <c r="I9" s="8" t="s">
        <v>518</v>
      </c>
      <c r="J9" s="8"/>
      <c r="K9" s="8"/>
      <c r="L9" s="8"/>
      <c r="M9" s="8"/>
      <c r="N9" s="8"/>
      <c r="O9" s="8"/>
      <c r="P9" s="8"/>
      <c r="Q9" s="8" t="s">
        <v>519</v>
      </c>
      <c r="R9" s="8"/>
      <c r="S9" s="8"/>
      <c r="T9" s="8"/>
      <c r="U9" s="8"/>
      <c r="V9" s="8"/>
      <c r="W9" s="8"/>
      <c r="X9" s="8"/>
      <c r="Y9" s="8"/>
      <c r="Z9" s="8"/>
      <c r="AA9" s="8"/>
      <c r="AB9" s="8"/>
      <c r="AC9" s="8"/>
      <c r="AD9" s="8" t="s">
        <v>412</v>
      </c>
      <c r="AE9" s="8"/>
      <c r="AF9" s="8"/>
      <c r="AG9" s="8"/>
      <c r="AH9" s="8"/>
      <c r="AI9" s="8"/>
      <c r="AJ9" s="8"/>
      <c r="AK9" s="8"/>
      <c r="AL9" s="8"/>
      <c r="AM9" s="8"/>
      <c r="AN9" s="8"/>
      <c r="AO9" s="8"/>
      <c r="AP9" s="8"/>
      <c r="AQ9" s="8"/>
      <c r="AR9" s="8"/>
      <c r="AS9" s="8"/>
      <c r="AT9" s="8"/>
      <c r="AU9" s="8"/>
      <c r="AV9" s="8"/>
    </row>
    <row r="10" spans="1:48" ht="29" customHeight="1">
      <c r="A10" s="5" t="s">
        <v>497</v>
      </c>
      <c r="B10" s="5"/>
      <c r="C10" s="5"/>
      <c r="D10" s="5"/>
      <c r="E10" s="11">
        <v>300</v>
      </c>
      <c r="F10" s="11"/>
      <c r="G10" s="11"/>
      <c r="H10" s="11"/>
      <c r="I10" s="5" t="s">
        <v>520</v>
      </c>
      <c r="J10" s="5"/>
      <c r="K10" s="5"/>
      <c r="L10" s="5"/>
      <c r="M10" s="5"/>
      <c r="N10" s="5"/>
      <c r="O10" s="5"/>
      <c r="P10" s="5"/>
      <c r="Q10" s="5" t="s">
        <v>521</v>
      </c>
      <c r="R10" s="5"/>
      <c r="S10" s="5"/>
      <c r="T10" s="5"/>
      <c r="U10" s="5"/>
      <c r="V10" s="5"/>
      <c r="W10" s="5"/>
      <c r="X10" s="5"/>
      <c r="Y10" s="5"/>
      <c r="Z10" s="5"/>
      <c r="AA10" s="5"/>
      <c r="AB10" s="5"/>
      <c r="AC10" s="5"/>
      <c r="AD10" s="5" t="s">
        <v>412</v>
      </c>
      <c r="AE10" s="5"/>
      <c r="AF10" s="5"/>
      <c r="AG10" s="5"/>
      <c r="AH10" s="5"/>
      <c r="AI10" s="5"/>
      <c r="AJ10" s="5"/>
      <c r="AK10" s="5"/>
      <c r="AL10" s="5"/>
      <c r="AM10" s="5"/>
      <c r="AN10" s="5"/>
      <c r="AO10" s="5"/>
      <c r="AP10" s="5"/>
      <c r="AQ10" s="5"/>
      <c r="AR10" s="5"/>
      <c r="AS10" s="5"/>
      <c r="AT10" s="5"/>
      <c r="AU10" s="5"/>
      <c r="AV10" s="5"/>
    </row>
    <row r="11" spans="1:48" ht="29" customHeight="1">
      <c r="A11" s="8" t="s">
        <v>498</v>
      </c>
      <c r="B11" s="8"/>
      <c r="C11" s="8"/>
      <c r="D11" s="8"/>
      <c r="E11" s="12">
        <v>600</v>
      </c>
      <c r="F11" s="12"/>
      <c r="G11" s="12"/>
      <c r="H11" s="12"/>
      <c r="I11" s="8" t="s">
        <v>522</v>
      </c>
      <c r="J11" s="8"/>
      <c r="K11" s="8"/>
      <c r="L11" s="8"/>
      <c r="M11" s="8"/>
      <c r="N11" s="8"/>
      <c r="O11" s="8"/>
      <c r="P11" s="8"/>
      <c r="Q11" s="8" t="s">
        <v>523</v>
      </c>
      <c r="R11" s="8"/>
      <c r="S11" s="8"/>
      <c r="T11" s="8"/>
      <c r="U11" s="8"/>
      <c r="V11" s="8"/>
      <c r="W11" s="8"/>
      <c r="X11" s="8"/>
      <c r="Y11" s="8"/>
      <c r="Z11" s="8"/>
      <c r="AA11" s="8"/>
      <c r="AB11" s="8"/>
      <c r="AC11" s="8"/>
      <c r="AD11" s="8" t="s">
        <v>417</v>
      </c>
      <c r="AE11" s="8"/>
      <c r="AF11" s="8"/>
      <c r="AG11" s="8"/>
      <c r="AH11" s="8"/>
      <c r="AI11" s="8"/>
      <c r="AJ11" s="8"/>
      <c r="AK11" s="8"/>
      <c r="AL11" s="8"/>
      <c r="AM11" s="8"/>
      <c r="AN11" s="8"/>
      <c r="AO11" s="8"/>
      <c r="AP11" s="8"/>
      <c r="AQ11" s="8"/>
      <c r="AR11" s="8"/>
      <c r="AS11" s="8"/>
      <c r="AT11" s="8"/>
      <c r="AU11" s="8"/>
      <c r="AV11" s="8"/>
    </row>
    <row r="12" spans="1:48" ht="29" customHeight="1">
      <c r="A12" s="5" t="s">
        <v>499</v>
      </c>
      <c r="B12" s="5"/>
      <c r="C12" s="5"/>
      <c r="D12" s="5"/>
      <c r="E12" s="11">
        <v>300</v>
      </c>
      <c r="F12" s="11"/>
      <c r="G12" s="11"/>
      <c r="H12" s="11"/>
      <c r="I12" s="5" t="s">
        <v>524</v>
      </c>
      <c r="J12" s="5"/>
      <c r="K12" s="5"/>
      <c r="L12" s="5"/>
      <c r="M12" s="5"/>
      <c r="N12" s="5"/>
      <c r="O12" s="5"/>
      <c r="P12" s="5"/>
      <c r="Q12" s="5" t="s">
        <v>525</v>
      </c>
      <c r="R12" s="5"/>
      <c r="S12" s="5"/>
      <c r="T12" s="5"/>
      <c r="U12" s="5"/>
      <c r="V12" s="5"/>
      <c r="W12" s="5"/>
      <c r="X12" s="5"/>
      <c r="Y12" s="5"/>
      <c r="Z12" s="5"/>
      <c r="AA12" s="5"/>
      <c r="AB12" s="5"/>
      <c r="AC12" s="5"/>
      <c r="AD12" s="5" t="s">
        <v>419</v>
      </c>
      <c r="AE12" s="5"/>
      <c r="AF12" s="5"/>
      <c r="AG12" s="5"/>
      <c r="AH12" s="5"/>
      <c r="AI12" s="5"/>
      <c r="AJ12" s="5"/>
      <c r="AK12" s="5"/>
      <c r="AL12" s="5"/>
      <c r="AM12" s="5"/>
      <c r="AN12" s="5"/>
      <c r="AO12" s="5"/>
      <c r="AP12" s="5"/>
      <c r="AQ12" s="5"/>
      <c r="AR12" s="5"/>
      <c r="AS12" s="5"/>
      <c r="AT12" s="5"/>
      <c r="AU12" s="5"/>
      <c r="AV12" s="5"/>
    </row>
    <row r="13" spans="1:48" ht="29" customHeight="1">
      <c r="A13" s="8" t="s">
        <v>500</v>
      </c>
      <c r="B13" s="8"/>
      <c r="C13" s="8"/>
      <c r="D13" s="8"/>
      <c r="E13" s="12">
        <v>300</v>
      </c>
      <c r="F13" s="12"/>
      <c r="G13" s="12"/>
      <c r="H13" s="12"/>
      <c r="I13" s="8" t="s">
        <v>526</v>
      </c>
      <c r="J13" s="8"/>
      <c r="K13" s="8"/>
      <c r="L13" s="8"/>
      <c r="M13" s="8"/>
      <c r="N13" s="8"/>
      <c r="O13" s="8"/>
      <c r="P13" s="8"/>
      <c r="Q13" s="8" t="s">
        <v>527</v>
      </c>
      <c r="R13" s="8"/>
      <c r="S13" s="8"/>
      <c r="T13" s="8"/>
      <c r="U13" s="8"/>
      <c r="V13" s="8"/>
      <c r="W13" s="8"/>
      <c r="X13" s="8"/>
      <c r="Y13" s="8"/>
      <c r="Z13" s="8"/>
      <c r="AA13" s="8"/>
      <c r="AB13" s="8"/>
      <c r="AC13" s="8"/>
      <c r="AD13" s="8" t="s">
        <v>421</v>
      </c>
      <c r="AE13" s="8"/>
      <c r="AF13" s="8"/>
      <c r="AG13" s="8"/>
      <c r="AH13" s="8"/>
      <c r="AI13" s="8"/>
      <c r="AJ13" s="8"/>
      <c r="AK13" s="8"/>
      <c r="AL13" s="8"/>
      <c r="AM13" s="8"/>
      <c r="AN13" s="8"/>
      <c r="AO13" s="8"/>
      <c r="AP13" s="8"/>
      <c r="AQ13" s="8"/>
      <c r="AR13" s="8"/>
      <c r="AS13" s="8"/>
      <c r="AT13" s="8"/>
      <c r="AU13" s="8"/>
      <c r="AV13" s="8"/>
    </row>
    <row r="14" spans="1:48" ht="29" customHeight="1">
      <c r="A14" s="5" t="s">
        <v>502</v>
      </c>
      <c r="B14" s="5"/>
      <c r="C14" s="5"/>
      <c r="D14" s="5"/>
      <c r="E14" s="11">
        <v>420</v>
      </c>
      <c r="F14" s="11"/>
      <c r="G14" s="11"/>
      <c r="H14" s="11"/>
      <c r="I14" s="5" t="s">
        <v>524</v>
      </c>
      <c r="J14" s="5"/>
      <c r="K14" s="5"/>
      <c r="L14" s="5"/>
      <c r="M14" s="5"/>
      <c r="N14" s="5"/>
      <c r="O14" s="5"/>
      <c r="P14" s="5"/>
      <c r="Q14" s="5" t="s">
        <v>528</v>
      </c>
      <c r="R14" s="5"/>
      <c r="S14" s="5"/>
      <c r="T14" s="5"/>
      <c r="U14" s="5"/>
      <c r="V14" s="5"/>
      <c r="W14" s="5"/>
      <c r="X14" s="5"/>
      <c r="Y14" s="5"/>
      <c r="Z14" s="5"/>
      <c r="AA14" s="5"/>
      <c r="AB14" s="5"/>
      <c r="AC14" s="5"/>
      <c r="AD14" s="5" t="s">
        <v>425</v>
      </c>
      <c r="AE14" s="5"/>
      <c r="AF14" s="5"/>
      <c r="AG14" s="5"/>
      <c r="AH14" s="5"/>
      <c r="AI14" s="5"/>
      <c r="AJ14" s="5"/>
      <c r="AK14" s="5"/>
      <c r="AL14" s="5"/>
      <c r="AM14" s="5"/>
      <c r="AN14" s="5"/>
      <c r="AO14" s="5"/>
      <c r="AP14" s="5"/>
      <c r="AQ14" s="5"/>
      <c r="AR14" s="5"/>
      <c r="AS14" s="5"/>
      <c r="AT14" s="5"/>
      <c r="AU14" s="5"/>
      <c r="AV14" s="5"/>
    </row>
    <row r="15" spans="1:48" ht="29" customHeight="1">
      <c r="A15" s="8" t="s">
        <v>503</v>
      </c>
      <c r="B15" s="8"/>
      <c r="C15" s="8"/>
      <c r="D15" s="8"/>
      <c r="E15" s="12">
        <v>450</v>
      </c>
      <c r="F15" s="12"/>
      <c r="G15" s="12"/>
      <c r="H15" s="12"/>
      <c r="I15" s="8" t="s">
        <v>524</v>
      </c>
      <c r="J15" s="8"/>
      <c r="K15" s="8"/>
      <c r="L15" s="8"/>
      <c r="M15" s="8"/>
      <c r="N15" s="8"/>
      <c r="O15" s="8"/>
      <c r="P15" s="8"/>
      <c r="Q15" s="8" t="s">
        <v>529</v>
      </c>
      <c r="R15" s="8"/>
      <c r="S15" s="8"/>
      <c r="T15" s="8"/>
      <c r="U15" s="8"/>
      <c r="V15" s="8"/>
      <c r="W15" s="8"/>
      <c r="X15" s="8"/>
      <c r="Y15" s="8"/>
      <c r="Z15" s="8"/>
      <c r="AA15" s="8"/>
      <c r="AB15" s="8"/>
      <c r="AC15" s="8"/>
      <c r="AD15" s="8" t="s">
        <v>429</v>
      </c>
      <c r="AE15" s="8"/>
      <c r="AF15" s="8"/>
      <c r="AG15" s="8"/>
      <c r="AH15" s="8"/>
      <c r="AI15" s="8"/>
      <c r="AJ15" s="8"/>
      <c r="AK15" s="8"/>
      <c r="AL15" s="8"/>
      <c r="AM15" s="8"/>
      <c r="AN15" s="8"/>
      <c r="AO15" s="8"/>
      <c r="AP15" s="8"/>
      <c r="AQ15" s="8"/>
      <c r="AR15" s="8"/>
      <c r="AS15" s="8"/>
      <c r="AT15" s="8"/>
      <c r="AU15" s="8"/>
      <c r="AV15" s="8"/>
    </row>
    <row r="16" spans="1:48" ht="10" customHeight="1"/>
    <row r="17" spans="1:48" ht="63" customHeight="1">
      <c r="A17" s="6" t="s">
        <v>530</v>
      </c>
      <c r="B17" s="6"/>
      <c r="C17" s="6"/>
      <c r="D17" s="6"/>
      <c r="E17" s="6"/>
      <c r="F17" s="6"/>
      <c r="G17" s="6"/>
      <c r="H17" s="6"/>
      <c r="I17" s="6"/>
      <c r="J17" s="6"/>
      <c r="K17" s="5" t="s">
        <v>531</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21" customHeight="1">
      <c r="A18" s="9" t="s">
        <v>532</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row>
    <row r="19" spans="1:48" ht="8" customHeight="1"/>
    <row r="20" spans="1:48" ht="63" customHeight="1">
      <c r="A20" s="6" t="s">
        <v>533</v>
      </c>
      <c r="B20" s="6"/>
      <c r="C20" s="6"/>
      <c r="D20" s="6"/>
      <c r="E20" s="6"/>
      <c r="F20" s="6"/>
      <c r="G20" s="6"/>
      <c r="H20" s="6"/>
      <c r="I20" s="6"/>
      <c r="J20" s="6"/>
      <c r="K20" s="5" t="s">
        <v>534</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ht="21" customHeight="1">
      <c r="A21" s="9" t="s">
        <v>535</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row>
    <row r="22" spans="1:48" ht="8" customHeight="1"/>
    <row r="23" spans="1:48" ht="63" customHeight="1">
      <c r="A23" s="6" t="s">
        <v>536</v>
      </c>
      <c r="B23" s="6"/>
      <c r="C23" s="6"/>
      <c r="D23" s="6"/>
      <c r="E23" s="6"/>
      <c r="F23" s="6"/>
      <c r="G23" s="6"/>
      <c r="H23" s="6"/>
      <c r="I23" s="6"/>
      <c r="J23" s="6"/>
      <c r="K23" s="5" t="s">
        <v>537</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ht="21" customHeight="1">
      <c r="A24" s="9" t="s">
        <v>538</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spans="1:48" ht="8" customHeight="1"/>
    <row r="26" spans="1:48" ht="46" customHeight="1">
      <c r="A26" s="6" t="s">
        <v>539</v>
      </c>
      <c r="B26" s="6"/>
      <c r="C26" s="6"/>
      <c r="D26" s="6"/>
      <c r="E26" s="6"/>
      <c r="F26" s="6"/>
      <c r="G26" s="6"/>
      <c r="H26" s="6"/>
      <c r="I26" s="6"/>
      <c r="J26" s="6"/>
      <c r="K26" s="5" t="s">
        <v>540</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21" customHeight="1">
      <c r="A27" s="9" t="s">
        <v>538</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ht="8" customHeight="1"/>
    <row r="29" spans="1:48" ht="46" customHeight="1">
      <c r="A29" s="6" t="s">
        <v>541</v>
      </c>
      <c r="B29" s="6"/>
      <c r="C29" s="6"/>
      <c r="D29" s="6"/>
      <c r="E29" s="6"/>
      <c r="F29" s="6"/>
      <c r="G29" s="6"/>
      <c r="H29" s="6"/>
      <c r="I29" s="6"/>
      <c r="J29" s="6"/>
      <c r="K29" s="5" t="s">
        <v>542</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8" customHeight="1"/>
  </sheetData>
  <mergeCells count="65">
    <mergeCell ref="A1:AV1"/>
    <mergeCell ref="A2:AV2"/>
    <mergeCell ref="A3:AV3"/>
    <mergeCell ref="A4:X4"/>
    <mergeCell ref="Y4:AV4"/>
    <mergeCell ref="A6:AV6"/>
    <mergeCell ref="A7:D7"/>
    <mergeCell ref="E7:H7"/>
    <mergeCell ref="I7:P7"/>
    <mergeCell ref="Q7:AC7"/>
    <mergeCell ref="AD7:AV7"/>
    <mergeCell ref="A8:D8"/>
    <mergeCell ref="E8:H8"/>
    <mergeCell ref="I8:P8"/>
    <mergeCell ref="Q8:AC8"/>
    <mergeCell ref="AD8:AV8"/>
    <mergeCell ref="A9:D9"/>
    <mergeCell ref="E9:H9"/>
    <mergeCell ref="I9:P9"/>
    <mergeCell ref="Q9:AC9"/>
    <mergeCell ref="AD9:AV9"/>
    <mergeCell ref="A10:D10"/>
    <mergeCell ref="E10:H10"/>
    <mergeCell ref="I10:P10"/>
    <mergeCell ref="Q10:AC10"/>
    <mergeCell ref="AD10:AV10"/>
    <mergeCell ref="A11:D11"/>
    <mergeCell ref="E11:H11"/>
    <mergeCell ref="I11:P11"/>
    <mergeCell ref="Q11:AC11"/>
    <mergeCell ref="AD11:AV11"/>
    <mergeCell ref="A12:D12"/>
    <mergeCell ref="E12:H12"/>
    <mergeCell ref="I12:P12"/>
    <mergeCell ref="Q12:AC12"/>
    <mergeCell ref="AD12:AV12"/>
    <mergeCell ref="A13:D13"/>
    <mergeCell ref="E13:H13"/>
    <mergeCell ref="I13:P13"/>
    <mergeCell ref="Q13:AC13"/>
    <mergeCell ref="AD13:AV13"/>
    <mergeCell ref="A14:D14"/>
    <mergeCell ref="E14:H14"/>
    <mergeCell ref="I14:P14"/>
    <mergeCell ref="Q14:AC14"/>
    <mergeCell ref="AD14:AV14"/>
    <mergeCell ref="A15:D15"/>
    <mergeCell ref="E15:H15"/>
    <mergeCell ref="I15:P15"/>
    <mergeCell ref="Q15:AC15"/>
    <mergeCell ref="AD15:AV15"/>
    <mergeCell ref="A17:J17"/>
    <mergeCell ref="K17:AV17"/>
    <mergeCell ref="A18:AV18"/>
    <mergeCell ref="A20:J20"/>
    <mergeCell ref="K20:AV20"/>
    <mergeCell ref="A21:AV21"/>
    <mergeCell ref="A23:J23"/>
    <mergeCell ref="K23:AV23"/>
    <mergeCell ref="A24:AV24"/>
    <mergeCell ref="A26:J26"/>
    <mergeCell ref="K26:AV26"/>
    <mergeCell ref="A27:AV27"/>
    <mergeCell ref="A29:J29"/>
    <mergeCell ref="K29:AV29"/>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9.xml><?xml version="1.0" encoding="utf-8"?>
<worksheet xmlns="http://schemas.openxmlformats.org/spreadsheetml/2006/main" xmlns:r="http://schemas.openxmlformats.org/officeDocument/2006/relationships">
  <sheetPr>
    <tabColor rgb="FF777777"/>
    <pageSetUpPr fitToPage="1"/>
  </sheetPr>
  <dimension ref="A1:D91"/>
  <sheetViews>
    <sheetView showGridLines="0" zoomScale="90" zoomScaleNormal="9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0.7109375" customWidth="1"/>
    <col min="2" max="2" width="20.7109375" customWidth="1"/>
    <col min="3" max="3" width="59.7109375" customWidth="1"/>
    <col min="4" max="4" width="84.7109375" customWidth="1"/>
  </cols>
  <sheetData>
    <row r="1" spans="1:4" ht="40" customHeight="1">
      <c r="A1" s="1" t="s">
        <v>543</v>
      </c>
      <c r="B1" s="1"/>
      <c r="C1" s="1"/>
      <c r="D1" s="1"/>
    </row>
    <row r="2" spans="1:4" ht="25" customHeight="1">
      <c r="A2" s="2" t="s">
        <v>1</v>
      </c>
      <c r="B2" s="2"/>
      <c r="C2" s="2"/>
      <c r="D2" s="2"/>
    </row>
    <row r="3" spans="1:4" ht="32" customHeight="1">
      <c r="A3" s="2" t="s">
        <v>544</v>
      </c>
      <c r="B3" s="2"/>
      <c r="C3" s="2"/>
      <c r="D3" s="2"/>
    </row>
    <row r="4" spans="1:4" ht="22" customHeight="1">
      <c r="A4" s="3" t="s">
        <v>3</v>
      </c>
      <c r="B4" s="3"/>
      <c r="C4" s="3" t="s">
        <v>4</v>
      </c>
      <c r="D4" s="3"/>
    </row>
    <row r="5" spans="1:4" ht="8" customHeight="1"/>
    <row r="6" spans="1:4" ht="29" customHeight="1">
      <c r="A6" s="4" t="s">
        <v>545</v>
      </c>
      <c r="B6" s="4"/>
      <c r="C6" s="4"/>
      <c r="D6" s="4"/>
    </row>
    <row r="7" spans="1:4" ht="30" customHeight="1">
      <c r="A7" s="7" t="s">
        <v>480</v>
      </c>
      <c r="B7" s="7" t="s">
        <v>546</v>
      </c>
      <c r="C7" s="7" t="s">
        <v>547</v>
      </c>
      <c r="D7" s="7" t="s">
        <v>548</v>
      </c>
    </row>
    <row r="8" spans="1:4" ht="29" customHeight="1">
      <c r="A8" s="5" t="s">
        <v>486</v>
      </c>
      <c r="B8" s="11">
        <v>0</v>
      </c>
      <c r="C8" s="5" t="s">
        <v>549</v>
      </c>
      <c r="D8" s="5" t="s">
        <v>550</v>
      </c>
    </row>
    <row r="9" spans="1:4" ht="29" customHeight="1">
      <c r="A9" s="8" t="s">
        <v>486</v>
      </c>
      <c r="B9" s="12">
        <v>0</v>
      </c>
      <c r="C9" s="8" t="s">
        <v>551</v>
      </c>
      <c r="D9" s="8" t="s">
        <v>552</v>
      </c>
    </row>
    <row r="10" spans="1:4" ht="29" customHeight="1">
      <c r="A10" s="5" t="s">
        <v>486</v>
      </c>
      <c r="B10" s="11">
        <v>0</v>
      </c>
      <c r="C10" s="5" t="s">
        <v>553</v>
      </c>
      <c r="D10" s="5" t="s">
        <v>554</v>
      </c>
    </row>
    <row r="11" spans="1:4" ht="29" customHeight="1">
      <c r="A11" s="8" t="s">
        <v>486</v>
      </c>
      <c r="B11" s="12">
        <v>0</v>
      </c>
      <c r="C11" s="8" t="s">
        <v>555</v>
      </c>
      <c r="D11" s="8" t="s">
        <v>556</v>
      </c>
    </row>
    <row r="12" spans="1:4" ht="29" customHeight="1">
      <c r="A12" s="5" t="s">
        <v>486</v>
      </c>
      <c r="B12" s="11">
        <v>0</v>
      </c>
      <c r="C12" s="5" t="s">
        <v>557</v>
      </c>
      <c r="D12" s="5" t="s">
        <v>558</v>
      </c>
    </row>
    <row r="13" spans="1:4" ht="29" customHeight="1">
      <c r="A13" s="8" t="s">
        <v>486</v>
      </c>
      <c r="B13" s="12">
        <v>25</v>
      </c>
      <c r="C13" s="8" t="s">
        <v>559</v>
      </c>
      <c r="D13" s="8" t="s">
        <v>560</v>
      </c>
    </row>
    <row r="14" spans="1:4" ht="29" customHeight="1">
      <c r="A14" s="5" t="s">
        <v>486</v>
      </c>
      <c r="B14" s="11">
        <v>200</v>
      </c>
      <c r="C14" s="5" t="s">
        <v>561</v>
      </c>
      <c r="D14" s="5" t="s">
        <v>562</v>
      </c>
    </row>
    <row r="15" spans="1:4" ht="29" customHeight="1">
      <c r="A15" s="8" t="s">
        <v>486</v>
      </c>
      <c r="B15" s="12">
        <v>210</v>
      </c>
      <c r="C15" s="8" t="s">
        <v>563</v>
      </c>
      <c r="D15" s="8" t="s">
        <v>564</v>
      </c>
    </row>
    <row r="16" spans="1:4" ht="29" customHeight="1">
      <c r="A16" s="5" t="s">
        <v>486</v>
      </c>
      <c r="B16" s="11">
        <v>210</v>
      </c>
      <c r="C16" s="5" t="s">
        <v>565</v>
      </c>
      <c r="D16" s="5" t="s">
        <v>566</v>
      </c>
    </row>
    <row r="17" spans="1:4" ht="29" customHeight="1">
      <c r="A17" s="8" t="s">
        <v>486</v>
      </c>
      <c r="B17" s="12">
        <v>222</v>
      </c>
      <c r="C17" s="8" t="s">
        <v>567</v>
      </c>
      <c r="D17" s="8" t="s">
        <v>568</v>
      </c>
    </row>
    <row r="18" spans="1:4" ht="29" customHeight="1">
      <c r="A18" s="5" t="s">
        <v>486</v>
      </c>
      <c r="B18" s="11">
        <v>300</v>
      </c>
      <c r="C18" s="5" t="s">
        <v>569</v>
      </c>
      <c r="D18" s="5" t="s">
        <v>570</v>
      </c>
    </row>
    <row r="19" spans="1:4" ht="29" customHeight="1">
      <c r="A19" s="8" t="s">
        <v>494</v>
      </c>
      <c r="B19" s="12">
        <v>0</v>
      </c>
      <c r="C19" s="8" t="s">
        <v>549</v>
      </c>
      <c r="D19" s="8" t="s">
        <v>550</v>
      </c>
    </row>
    <row r="20" spans="1:4" ht="29" customHeight="1">
      <c r="A20" s="5" t="s">
        <v>494</v>
      </c>
      <c r="B20" s="11">
        <v>20</v>
      </c>
      <c r="C20" s="5" t="s">
        <v>559</v>
      </c>
      <c r="D20" s="5" t="s">
        <v>560</v>
      </c>
    </row>
    <row r="21" spans="1:4" ht="29" customHeight="1">
      <c r="A21" s="8" t="s">
        <v>494</v>
      </c>
      <c r="B21" s="12">
        <v>20</v>
      </c>
      <c r="C21" s="8" t="s">
        <v>551</v>
      </c>
      <c r="D21" s="8" t="s">
        <v>571</v>
      </c>
    </row>
    <row r="22" spans="1:4" ht="29" customHeight="1">
      <c r="A22" s="5" t="s">
        <v>494</v>
      </c>
      <c r="B22" s="11">
        <v>100</v>
      </c>
      <c r="C22" s="5" t="s">
        <v>553</v>
      </c>
      <c r="D22" s="5" t="s">
        <v>554</v>
      </c>
    </row>
    <row r="23" spans="1:4" ht="29" customHeight="1">
      <c r="A23" s="8" t="s">
        <v>494</v>
      </c>
      <c r="B23" s="12">
        <v>100</v>
      </c>
      <c r="C23" s="8" t="s">
        <v>555</v>
      </c>
      <c r="D23" s="8" t="s">
        <v>572</v>
      </c>
    </row>
    <row r="24" spans="1:4" ht="29" customHeight="1">
      <c r="A24" s="5" t="s">
        <v>494</v>
      </c>
      <c r="B24" s="11">
        <v>100</v>
      </c>
      <c r="C24" s="5" t="s">
        <v>563</v>
      </c>
      <c r="D24" s="5" t="s">
        <v>564</v>
      </c>
    </row>
    <row r="25" spans="1:4" ht="29" customHeight="1">
      <c r="A25" s="8" t="s">
        <v>494</v>
      </c>
      <c r="B25" s="12">
        <v>100</v>
      </c>
      <c r="C25" s="8" t="s">
        <v>557</v>
      </c>
      <c r="D25" s="8" t="s">
        <v>558</v>
      </c>
    </row>
    <row r="26" spans="1:4" ht="29" customHeight="1">
      <c r="A26" s="5" t="s">
        <v>494</v>
      </c>
      <c r="B26" s="11">
        <v>150</v>
      </c>
      <c r="C26" s="5" t="s">
        <v>561</v>
      </c>
      <c r="D26" s="5" t="s">
        <v>562</v>
      </c>
    </row>
    <row r="27" spans="1:4" ht="29" customHeight="1">
      <c r="A27" s="8" t="s">
        <v>494</v>
      </c>
      <c r="B27" s="12">
        <v>160</v>
      </c>
      <c r="C27" s="8" t="s">
        <v>565</v>
      </c>
      <c r="D27" s="8" t="s">
        <v>566</v>
      </c>
    </row>
    <row r="28" spans="1:4" ht="29" customHeight="1">
      <c r="A28" s="5" t="s">
        <v>494</v>
      </c>
      <c r="B28" s="11">
        <v>172</v>
      </c>
      <c r="C28" s="5" t="s">
        <v>567</v>
      </c>
      <c r="D28" s="5" t="s">
        <v>568</v>
      </c>
    </row>
    <row r="29" spans="1:4" ht="29" customHeight="1">
      <c r="A29" s="8" t="s">
        <v>494</v>
      </c>
      <c r="B29" s="12">
        <v>250</v>
      </c>
      <c r="C29" s="8" t="s">
        <v>569</v>
      </c>
      <c r="D29" s="8" t="s">
        <v>570</v>
      </c>
    </row>
    <row r="30" spans="1:4" ht="29" customHeight="1">
      <c r="A30" s="5" t="s">
        <v>497</v>
      </c>
      <c r="B30" s="11">
        <v>0</v>
      </c>
      <c r="C30" s="5" t="s">
        <v>549</v>
      </c>
      <c r="D30" s="5" t="s">
        <v>550</v>
      </c>
    </row>
    <row r="31" spans="1:4" ht="29" customHeight="1">
      <c r="A31" s="8" t="s">
        <v>497</v>
      </c>
      <c r="B31" s="12">
        <v>25</v>
      </c>
      <c r="C31" s="8" t="s">
        <v>559</v>
      </c>
      <c r="D31" s="8" t="s">
        <v>560</v>
      </c>
    </row>
    <row r="32" spans="1:4" ht="29" customHeight="1">
      <c r="A32" s="5" t="s">
        <v>497</v>
      </c>
      <c r="B32" s="11">
        <v>25</v>
      </c>
      <c r="C32" s="5" t="s">
        <v>551</v>
      </c>
      <c r="D32" s="5" t="s">
        <v>573</v>
      </c>
    </row>
    <row r="33" spans="1:4" ht="29" customHeight="1">
      <c r="A33" s="8" t="s">
        <v>497</v>
      </c>
      <c r="B33" s="12">
        <v>120</v>
      </c>
      <c r="C33" s="8" t="s">
        <v>553</v>
      </c>
      <c r="D33" s="8" t="s">
        <v>554</v>
      </c>
    </row>
    <row r="34" spans="1:4" ht="29" customHeight="1">
      <c r="A34" s="5" t="s">
        <v>497</v>
      </c>
      <c r="B34" s="11">
        <v>120</v>
      </c>
      <c r="C34" s="5" t="s">
        <v>555</v>
      </c>
      <c r="D34" s="5" t="s">
        <v>556</v>
      </c>
    </row>
    <row r="35" spans="1:4" ht="29" customHeight="1">
      <c r="A35" s="8" t="s">
        <v>497</v>
      </c>
      <c r="B35" s="12">
        <v>120</v>
      </c>
      <c r="C35" s="8" t="s">
        <v>563</v>
      </c>
      <c r="D35" s="8" t="s">
        <v>564</v>
      </c>
    </row>
    <row r="36" spans="1:4" ht="29" customHeight="1">
      <c r="A36" s="5" t="s">
        <v>497</v>
      </c>
      <c r="B36" s="11">
        <v>120</v>
      </c>
      <c r="C36" s="5" t="s">
        <v>557</v>
      </c>
      <c r="D36" s="5" t="s">
        <v>558</v>
      </c>
    </row>
    <row r="37" spans="1:4" ht="29" customHeight="1">
      <c r="A37" s="8" t="s">
        <v>497</v>
      </c>
      <c r="B37" s="12">
        <v>320</v>
      </c>
      <c r="C37" s="8" t="s">
        <v>561</v>
      </c>
      <c r="D37" s="8" t="s">
        <v>562</v>
      </c>
    </row>
    <row r="38" spans="1:4" ht="29" customHeight="1">
      <c r="A38" s="5" t="s">
        <v>497</v>
      </c>
      <c r="B38" s="11">
        <v>330</v>
      </c>
      <c r="C38" s="5" t="s">
        <v>565</v>
      </c>
      <c r="D38" s="5" t="s">
        <v>566</v>
      </c>
    </row>
    <row r="39" spans="1:4" ht="29" customHeight="1">
      <c r="A39" s="8" t="s">
        <v>497</v>
      </c>
      <c r="B39" s="12">
        <v>342</v>
      </c>
      <c r="C39" s="8" t="s">
        <v>567</v>
      </c>
      <c r="D39" s="8" t="s">
        <v>568</v>
      </c>
    </row>
    <row r="40" spans="1:4" ht="29" customHeight="1">
      <c r="A40" s="5" t="s">
        <v>497</v>
      </c>
      <c r="B40" s="11">
        <v>420</v>
      </c>
      <c r="C40" s="5" t="s">
        <v>569</v>
      </c>
      <c r="D40" s="5" t="s">
        <v>570</v>
      </c>
    </row>
    <row r="41" spans="1:4" ht="29" customHeight="1">
      <c r="A41" s="8" t="s">
        <v>498</v>
      </c>
      <c r="B41" s="12">
        <v>0</v>
      </c>
      <c r="C41" s="8" t="s">
        <v>549</v>
      </c>
      <c r="D41" s="8" t="s">
        <v>574</v>
      </c>
    </row>
    <row r="42" spans="1:4" ht="29" customHeight="1">
      <c r="A42" s="5" t="s">
        <v>498</v>
      </c>
      <c r="B42" s="11">
        <v>25</v>
      </c>
      <c r="C42" s="5" t="s">
        <v>575</v>
      </c>
      <c r="D42" s="5" t="s">
        <v>576</v>
      </c>
    </row>
    <row r="43" spans="1:4" ht="29" customHeight="1">
      <c r="A43" s="8" t="s">
        <v>498</v>
      </c>
      <c r="B43" s="12">
        <v>145</v>
      </c>
      <c r="C43" s="8" t="s">
        <v>577</v>
      </c>
      <c r="D43" s="8" t="s">
        <v>578</v>
      </c>
    </row>
    <row r="44" spans="1:4" ht="29" customHeight="1">
      <c r="A44" s="5" t="s">
        <v>498</v>
      </c>
      <c r="B44" s="11">
        <v>235</v>
      </c>
      <c r="C44" s="5" t="s">
        <v>579</v>
      </c>
      <c r="D44" s="5" t="s">
        <v>580</v>
      </c>
    </row>
    <row r="45" spans="1:4" ht="29" customHeight="1">
      <c r="A45" s="8" t="s">
        <v>499</v>
      </c>
      <c r="B45" s="12">
        <v>0</v>
      </c>
      <c r="C45" s="8" t="s">
        <v>549</v>
      </c>
      <c r="D45" s="8" t="s">
        <v>550</v>
      </c>
    </row>
    <row r="46" spans="1:4" ht="29" customHeight="1">
      <c r="A46" s="5" t="s">
        <v>499</v>
      </c>
      <c r="B46" s="11">
        <v>25</v>
      </c>
      <c r="C46" s="5" t="s">
        <v>559</v>
      </c>
      <c r="D46" s="5" t="s">
        <v>560</v>
      </c>
    </row>
    <row r="47" spans="1:4" ht="29" customHeight="1">
      <c r="A47" s="8" t="s">
        <v>499</v>
      </c>
      <c r="B47" s="12">
        <v>25</v>
      </c>
      <c r="C47" s="8" t="s">
        <v>551</v>
      </c>
      <c r="D47" s="8" t="s">
        <v>552</v>
      </c>
    </row>
    <row r="48" spans="1:4" ht="29" customHeight="1">
      <c r="A48" s="5" t="s">
        <v>499</v>
      </c>
      <c r="B48" s="11">
        <v>25</v>
      </c>
      <c r="C48" s="5" t="s">
        <v>553</v>
      </c>
      <c r="D48" s="5" t="s">
        <v>554</v>
      </c>
    </row>
    <row r="49" spans="1:4" ht="29" customHeight="1">
      <c r="A49" s="8" t="s">
        <v>499</v>
      </c>
      <c r="B49" s="12">
        <v>25</v>
      </c>
      <c r="C49" s="8" t="s">
        <v>555</v>
      </c>
      <c r="D49" s="8" t="s">
        <v>556</v>
      </c>
    </row>
    <row r="50" spans="1:4" ht="29" customHeight="1">
      <c r="A50" s="5" t="s">
        <v>499</v>
      </c>
      <c r="B50" s="11">
        <v>25</v>
      </c>
      <c r="C50" s="5" t="s">
        <v>557</v>
      </c>
      <c r="D50" s="5" t="s">
        <v>558</v>
      </c>
    </row>
    <row r="51" spans="1:4" ht="29" customHeight="1">
      <c r="A51" s="8" t="s">
        <v>499</v>
      </c>
      <c r="B51" s="12">
        <v>225</v>
      </c>
      <c r="C51" s="8" t="s">
        <v>561</v>
      </c>
      <c r="D51" s="8" t="s">
        <v>562</v>
      </c>
    </row>
    <row r="52" spans="1:4" ht="29" customHeight="1">
      <c r="A52" s="5" t="s">
        <v>499</v>
      </c>
      <c r="B52" s="11">
        <v>235</v>
      </c>
      <c r="C52" s="5" t="s">
        <v>563</v>
      </c>
      <c r="D52" s="5" t="s">
        <v>564</v>
      </c>
    </row>
    <row r="53" spans="1:4" ht="29" customHeight="1">
      <c r="A53" s="8" t="s">
        <v>499</v>
      </c>
      <c r="B53" s="12">
        <v>235</v>
      </c>
      <c r="C53" s="8" t="s">
        <v>565</v>
      </c>
      <c r="D53" s="8" t="s">
        <v>566</v>
      </c>
    </row>
    <row r="54" spans="1:4" ht="29" customHeight="1">
      <c r="A54" s="5" t="s">
        <v>499</v>
      </c>
      <c r="B54" s="11">
        <v>247</v>
      </c>
      <c r="C54" s="5" t="s">
        <v>567</v>
      </c>
      <c r="D54" s="5" t="s">
        <v>568</v>
      </c>
    </row>
    <row r="55" spans="1:4" ht="29" customHeight="1">
      <c r="A55" s="8" t="s">
        <v>499</v>
      </c>
      <c r="B55" s="12">
        <v>325</v>
      </c>
      <c r="C55" s="8" t="s">
        <v>569</v>
      </c>
      <c r="D55" s="8" t="s">
        <v>570</v>
      </c>
    </row>
    <row r="56" spans="1:4" ht="29" customHeight="1">
      <c r="A56" s="5" t="s">
        <v>500</v>
      </c>
      <c r="B56" s="11">
        <v>0</v>
      </c>
      <c r="C56" s="5" t="s">
        <v>549</v>
      </c>
      <c r="D56" s="5" t="s">
        <v>550</v>
      </c>
    </row>
    <row r="57" spans="1:4" ht="29" customHeight="1">
      <c r="A57" s="8" t="s">
        <v>500</v>
      </c>
      <c r="B57" s="12">
        <v>25</v>
      </c>
      <c r="C57" s="8" t="s">
        <v>559</v>
      </c>
      <c r="D57" s="8" t="s">
        <v>560</v>
      </c>
    </row>
    <row r="58" spans="1:4" ht="29" customHeight="1">
      <c r="A58" s="5" t="s">
        <v>500</v>
      </c>
      <c r="B58" s="11">
        <v>25</v>
      </c>
      <c r="C58" s="5" t="s">
        <v>551</v>
      </c>
      <c r="D58" s="5" t="s">
        <v>552</v>
      </c>
    </row>
    <row r="59" spans="1:4" ht="29" customHeight="1">
      <c r="A59" s="8" t="s">
        <v>500</v>
      </c>
      <c r="B59" s="12">
        <v>30</v>
      </c>
      <c r="C59" s="8" t="s">
        <v>553</v>
      </c>
      <c r="D59" s="8" t="s">
        <v>554</v>
      </c>
    </row>
    <row r="60" spans="1:4" ht="29" customHeight="1">
      <c r="A60" s="5" t="s">
        <v>500</v>
      </c>
      <c r="B60" s="11">
        <v>30</v>
      </c>
      <c r="C60" s="5" t="s">
        <v>555</v>
      </c>
      <c r="D60" s="5" t="s">
        <v>556</v>
      </c>
    </row>
    <row r="61" spans="1:4" ht="29" customHeight="1">
      <c r="A61" s="8" t="s">
        <v>500</v>
      </c>
      <c r="B61" s="12">
        <v>30</v>
      </c>
      <c r="C61" s="8" t="s">
        <v>557</v>
      </c>
      <c r="D61" s="8" t="s">
        <v>558</v>
      </c>
    </row>
    <row r="62" spans="1:4" ht="29" customHeight="1">
      <c r="A62" s="5" t="s">
        <v>500</v>
      </c>
      <c r="B62" s="11">
        <v>230</v>
      </c>
      <c r="C62" s="5" t="s">
        <v>561</v>
      </c>
      <c r="D62" s="5" t="s">
        <v>562</v>
      </c>
    </row>
    <row r="63" spans="1:4" ht="29" customHeight="1">
      <c r="A63" s="8" t="s">
        <v>500</v>
      </c>
      <c r="B63" s="12">
        <v>235</v>
      </c>
      <c r="C63" s="8" t="s">
        <v>563</v>
      </c>
      <c r="D63" s="8" t="s">
        <v>564</v>
      </c>
    </row>
    <row r="64" spans="1:4" ht="29" customHeight="1">
      <c r="A64" s="5" t="s">
        <v>500</v>
      </c>
      <c r="B64" s="11">
        <v>240</v>
      </c>
      <c r="C64" s="5" t="s">
        <v>565</v>
      </c>
      <c r="D64" s="5" t="s">
        <v>566</v>
      </c>
    </row>
    <row r="65" spans="1:4" ht="29" customHeight="1">
      <c r="A65" s="8" t="s">
        <v>500</v>
      </c>
      <c r="B65" s="12">
        <v>252</v>
      </c>
      <c r="C65" s="8" t="s">
        <v>567</v>
      </c>
      <c r="D65" s="8" t="s">
        <v>568</v>
      </c>
    </row>
    <row r="66" spans="1:4" ht="29" customHeight="1">
      <c r="A66" s="5" t="s">
        <v>500</v>
      </c>
      <c r="B66" s="11">
        <v>330</v>
      </c>
      <c r="C66" s="5" t="s">
        <v>569</v>
      </c>
      <c r="D66" s="5" t="s">
        <v>570</v>
      </c>
    </row>
    <row r="67" spans="1:4" ht="29" customHeight="1">
      <c r="A67" s="8" t="s">
        <v>502</v>
      </c>
      <c r="B67" s="12">
        <v>0</v>
      </c>
      <c r="C67" s="8" t="s">
        <v>549</v>
      </c>
      <c r="D67" s="8" t="s">
        <v>550</v>
      </c>
    </row>
    <row r="68" spans="1:4" ht="29" customHeight="1">
      <c r="A68" s="5" t="s">
        <v>502</v>
      </c>
      <c r="B68" s="11">
        <v>25</v>
      </c>
      <c r="C68" s="5" t="s">
        <v>559</v>
      </c>
      <c r="D68" s="5" t="s">
        <v>560</v>
      </c>
    </row>
    <row r="69" spans="1:4" ht="29" customHeight="1">
      <c r="A69" s="8" t="s">
        <v>502</v>
      </c>
      <c r="B69" s="12">
        <v>25</v>
      </c>
      <c r="C69" s="8" t="s">
        <v>551</v>
      </c>
      <c r="D69" s="8" t="s">
        <v>581</v>
      </c>
    </row>
    <row r="70" spans="1:4" ht="29" customHeight="1">
      <c r="A70" s="5" t="s">
        <v>502</v>
      </c>
      <c r="B70" s="11">
        <v>25</v>
      </c>
      <c r="C70" s="5" t="s">
        <v>553</v>
      </c>
      <c r="D70" s="5" t="s">
        <v>554</v>
      </c>
    </row>
    <row r="71" spans="1:4" ht="29" customHeight="1">
      <c r="A71" s="8" t="s">
        <v>502</v>
      </c>
      <c r="B71" s="12">
        <v>25</v>
      </c>
      <c r="C71" s="8" t="s">
        <v>555</v>
      </c>
      <c r="D71" s="8" t="s">
        <v>582</v>
      </c>
    </row>
    <row r="72" spans="1:4" ht="29" customHeight="1">
      <c r="A72" s="5" t="s">
        <v>502</v>
      </c>
      <c r="B72" s="11">
        <v>25</v>
      </c>
      <c r="C72" s="5" t="s">
        <v>557</v>
      </c>
      <c r="D72" s="5" t="s">
        <v>558</v>
      </c>
    </row>
    <row r="73" spans="1:4" ht="29" customHeight="1">
      <c r="A73" s="8" t="s">
        <v>502</v>
      </c>
      <c r="B73" s="12">
        <v>285</v>
      </c>
      <c r="C73" s="8" t="s">
        <v>565</v>
      </c>
      <c r="D73" s="8" t="s">
        <v>566</v>
      </c>
    </row>
    <row r="74" spans="1:4" ht="29" customHeight="1">
      <c r="A74" s="5" t="s">
        <v>502</v>
      </c>
      <c r="B74" s="11">
        <v>315</v>
      </c>
      <c r="C74" s="5" t="s">
        <v>561</v>
      </c>
      <c r="D74" s="5" t="s">
        <v>562</v>
      </c>
    </row>
    <row r="75" spans="1:4" ht="29" customHeight="1">
      <c r="A75" s="8" t="s">
        <v>502</v>
      </c>
      <c r="B75" s="12">
        <v>325</v>
      </c>
      <c r="C75" s="8" t="s">
        <v>563</v>
      </c>
      <c r="D75" s="8" t="s">
        <v>564</v>
      </c>
    </row>
    <row r="76" spans="1:4" ht="29" customHeight="1">
      <c r="A76" s="5" t="s">
        <v>502</v>
      </c>
      <c r="B76" s="11">
        <v>337</v>
      </c>
      <c r="C76" s="5" t="s">
        <v>567</v>
      </c>
      <c r="D76" s="5" t="s">
        <v>568</v>
      </c>
    </row>
    <row r="77" spans="1:4" ht="29" customHeight="1">
      <c r="A77" s="8" t="s">
        <v>502</v>
      </c>
      <c r="B77" s="12">
        <v>445</v>
      </c>
      <c r="C77" s="8" t="s">
        <v>569</v>
      </c>
      <c r="D77" s="8" t="s">
        <v>570</v>
      </c>
    </row>
    <row r="78" spans="1:4" ht="29" customHeight="1">
      <c r="A78" s="5" t="s">
        <v>503</v>
      </c>
      <c r="B78" s="11">
        <v>0</v>
      </c>
      <c r="C78" s="5" t="s">
        <v>549</v>
      </c>
      <c r="D78" s="5" t="s">
        <v>550</v>
      </c>
    </row>
    <row r="79" spans="1:4" ht="29" customHeight="1">
      <c r="A79" s="8" t="s">
        <v>503</v>
      </c>
      <c r="B79" s="12">
        <v>25</v>
      </c>
      <c r="C79" s="8" t="s">
        <v>559</v>
      </c>
      <c r="D79" s="8" t="s">
        <v>560</v>
      </c>
    </row>
    <row r="80" spans="1:4" ht="29" customHeight="1">
      <c r="A80" s="5" t="s">
        <v>503</v>
      </c>
      <c r="B80" s="11">
        <v>25</v>
      </c>
      <c r="C80" s="5" t="s">
        <v>551</v>
      </c>
      <c r="D80" s="5" t="s">
        <v>552</v>
      </c>
    </row>
    <row r="81" spans="1:4" ht="29" customHeight="1">
      <c r="A81" s="8" t="s">
        <v>503</v>
      </c>
      <c r="B81" s="12">
        <v>25</v>
      </c>
      <c r="C81" s="8" t="s">
        <v>553</v>
      </c>
      <c r="D81" s="8" t="s">
        <v>583</v>
      </c>
    </row>
    <row r="82" spans="1:4" ht="29" customHeight="1">
      <c r="A82" s="5" t="s">
        <v>503</v>
      </c>
      <c r="B82" s="11">
        <v>25</v>
      </c>
      <c r="C82" s="5" t="s">
        <v>555</v>
      </c>
      <c r="D82" s="5" t="s">
        <v>584</v>
      </c>
    </row>
    <row r="83" spans="1:4" ht="29" customHeight="1">
      <c r="A83" s="8" t="s">
        <v>503</v>
      </c>
      <c r="B83" s="12">
        <v>230</v>
      </c>
      <c r="C83" s="8" t="s">
        <v>557</v>
      </c>
      <c r="D83" s="8" t="s">
        <v>558</v>
      </c>
    </row>
    <row r="84" spans="1:4" ht="29" customHeight="1">
      <c r="A84" s="5" t="s">
        <v>503</v>
      </c>
      <c r="B84" s="11">
        <v>235</v>
      </c>
      <c r="C84" s="5" t="s">
        <v>563</v>
      </c>
      <c r="D84" s="5" t="s">
        <v>564</v>
      </c>
    </row>
    <row r="85" spans="1:4" ht="29" customHeight="1">
      <c r="A85" s="8" t="s">
        <v>503</v>
      </c>
      <c r="B85" s="12">
        <v>380</v>
      </c>
      <c r="C85" s="8" t="s">
        <v>561</v>
      </c>
      <c r="D85" s="8" t="s">
        <v>562</v>
      </c>
    </row>
    <row r="86" spans="1:4" ht="29" customHeight="1">
      <c r="A86" s="5" t="s">
        <v>503</v>
      </c>
      <c r="B86" s="11">
        <v>395</v>
      </c>
      <c r="C86" s="5" t="s">
        <v>565</v>
      </c>
      <c r="D86" s="5" t="s">
        <v>566</v>
      </c>
    </row>
    <row r="87" spans="1:4" ht="29" customHeight="1">
      <c r="A87" s="8" t="s">
        <v>503</v>
      </c>
      <c r="B87" s="12">
        <v>402</v>
      </c>
      <c r="C87" s="8" t="s">
        <v>567</v>
      </c>
      <c r="D87" s="8" t="s">
        <v>568</v>
      </c>
    </row>
    <row r="88" spans="1:4" ht="29" customHeight="1">
      <c r="A88" s="5" t="s">
        <v>503</v>
      </c>
      <c r="B88" s="11">
        <v>475</v>
      </c>
      <c r="C88" s="5" t="s">
        <v>569</v>
      </c>
      <c r="D88" s="5" t="s">
        <v>570</v>
      </c>
    </row>
    <row r="89" spans="1:4" ht="10" customHeight="1"/>
    <row r="90" spans="1:4" ht="80" customHeight="1">
      <c r="A90" s="6" t="s">
        <v>585</v>
      </c>
      <c r="B90" s="5" t="s">
        <v>586</v>
      </c>
      <c r="C90" s="5"/>
      <c r="D90" s="5"/>
    </row>
    <row r="91" spans="1:4" ht="8" customHeight="1"/>
  </sheetData>
  <autoFilter ref="A7:D88"/>
  <mergeCells count="7">
    <mergeCell ref="A1:D1"/>
    <mergeCell ref="A2:D2"/>
    <mergeCell ref="A3:D3"/>
    <mergeCell ref="A4:B4"/>
    <mergeCell ref="C4:D4"/>
    <mergeCell ref="A6:D6"/>
    <mergeCell ref="B90:D90"/>
  </mergeCells>
  <hyperlinks>
    <hyperlink ref="A4" location="'00_結論と読み方'!A1" display="目次へ"/>
    <hyperlink ref="C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0.xml><?xml version="1.0" encoding="utf-8"?>
<worksheet xmlns="http://schemas.openxmlformats.org/spreadsheetml/2006/main" xmlns:r="http://schemas.openxmlformats.org/officeDocument/2006/relationships">
  <sheetPr>
    <tabColor rgb="FF777777"/>
    <pageSetUpPr fitToPage="1"/>
  </sheetPr>
  <dimension ref="A1:W31"/>
  <sheetViews>
    <sheetView showGridLines="0" zoomScale="85" zoomScaleNormal="85" workbookViewId="0">
      <pane ySplit="5" topLeftCell="A6" activePane="bottomLeft" state="frozen"/>
      <selection pane="bottomLeft"/>
    </sheetView>
  </sheetViews>
  <sheetFormatPr defaultRowHeight="15"/>
  <cols>
    <col min="1" max="1" width="36.7109375" customWidth="1"/>
    <col min="2" max="23" width="7" customWidth="1"/>
  </cols>
  <sheetData>
    <row r="1" spans="1:23" ht="40" customHeight="1">
      <c r="A1" s="1" t="s">
        <v>587</v>
      </c>
      <c r="B1" s="1"/>
      <c r="C1" s="1"/>
      <c r="D1" s="1"/>
      <c r="E1" s="1"/>
      <c r="F1" s="1"/>
      <c r="G1" s="1"/>
      <c r="H1" s="1"/>
      <c r="I1" s="1"/>
      <c r="J1" s="1"/>
      <c r="K1" s="1"/>
      <c r="L1" s="1"/>
      <c r="M1" s="1"/>
      <c r="N1" s="1"/>
      <c r="O1" s="1"/>
      <c r="P1" s="1"/>
      <c r="Q1" s="1"/>
      <c r="R1" s="1"/>
      <c r="S1" s="1"/>
      <c r="T1" s="1"/>
      <c r="U1" s="1"/>
      <c r="V1" s="1"/>
      <c r="W1" s="1"/>
    </row>
    <row r="2" spans="1:23" ht="25" customHeight="1">
      <c r="A2" s="2" t="s">
        <v>1</v>
      </c>
      <c r="B2" s="2"/>
      <c r="C2" s="2"/>
      <c r="D2" s="2"/>
      <c r="E2" s="2"/>
      <c r="F2" s="2"/>
      <c r="G2" s="2"/>
      <c r="H2" s="2"/>
      <c r="I2" s="2"/>
      <c r="J2" s="2"/>
      <c r="K2" s="2"/>
      <c r="L2" s="2"/>
      <c r="M2" s="2"/>
      <c r="N2" s="2"/>
      <c r="O2" s="2"/>
      <c r="P2" s="2"/>
      <c r="Q2" s="2"/>
      <c r="R2" s="2"/>
      <c r="S2" s="2"/>
      <c r="T2" s="2"/>
      <c r="U2" s="2"/>
      <c r="V2" s="2"/>
      <c r="W2" s="2"/>
    </row>
    <row r="3" spans="1:23" ht="32" customHeight="1">
      <c r="A3" s="2" t="s">
        <v>588</v>
      </c>
      <c r="B3" s="2"/>
      <c r="C3" s="2"/>
      <c r="D3" s="2"/>
      <c r="E3" s="2"/>
      <c r="F3" s="2"/>
      <c r="G3" s="2"/>
      <c r="H3" s="2"/>
      <c r="I3" s="2"/>
      <c r="J3" s="2"/>
      <c r="K3" s="2"/>
      <c r="L3" s="2"/>
      <c r="M3" s="2"/>
      <c r="N3" s="2"/>
      <c r="O3" s="2"/>
      <c r="P3" s="2"/>
      <c r="Q3" s="2"/>
      <c r="R3" s="2"/>
      <c r="S3" s="2"/>
      <c r="T3" s="2"/>
      <c r="U3" s="2"/>
      <c r="V3" s="2"/>
      <c r="W3" s="2"/>
    </row>
    <row r="4" spans="1:23" ht="22" customHeight="1">
      <c r="A4" s="3" t="s">
        <v>3</v>
      </c>
      <c r="B4" s="3"/>
      <c r="C4" s="3"/>
      <c r="D4" s="3"/>
      <c r="E4" s="3"/>
      <c r="F4" s="3"/>
      <c r="G4" s="3"/>
      <c r="H4" s="3"/>
      <c r="I4" s="3"/>
      <c r="J4" s="3"/>
      <c r="K4" s="3"/>
      <c r="L4" s="3" t="s">
        <v>4</v>
      </c>
      <c r="M4" s="3"/>
      <c r="N4" s="3"/>
      <c r="O4" s="3"/>
      <c r="P4" s="3"/>
      <c r="Q4" s="3"/>
      <c r="R4" s="3"/>
      <c r="S4" s="3"/>
      <c r="T4" s="3"/>
      <c r="U4" s="3"/>
      <c r="V4" s="3"/>
      <c r="W4" s="3"/>
    </row>
    <row r="5" spans="1:23" ht="8" customHeight="1"/>
    <row r="6" spans="1:23" ht="29" customHeight="1">
      <c r="A6" s="4" t="s">
        <v>589</v>
      </c>
      <c r="B6" s="4"/>
      <c r="C6" s="4"/>
      <c r="D6" s="4"/>
      <c r="E6" s="4"/>
      <c r="F6" s="4"/>
      <c r="G6" s="4"/>
      <c r="H6" s="4"/>
      <c r="I6" s="4"/>
      <c r="J6" s="4"/>
      <c r="K6" s="4"/>
      <c r="L6" s="4"/>
      <c r="M6" s="4"/>
      <c r="N6" s="4"/>
      <c r="O6" s="4"/>
      <c r="P6" s="4"/>
      <c r="Q6" s="4"/>
      <c r="R6" s="4"/>
      <c r="S6" s="4"/>
      <c r="T6" s="4"/>
      <c r="U6" s="4"/>
      <c r="V6" s="4"/>
      <c r="W6" s="4"/>
    </row>
    <row r="7" spans="1:23" ht="34" customHeight="1">
      <c r="A7" s="7" t="s">
        <v>590</v>
      </c>
      <c r="B7" s="13">
        <v>0</v>
      </c>
      <c r="C7" s="13">
        <v>20</v>
      </c>
      <c r="D7" s="13">
        <v>40</v>
      </c>
      <c r="E7" s="13">
        <v>60</v>
      </c>
      <c r="F7" s="13">
        <v>80</v>
      </c>
      <c r="G7" s="13">
        <v>100</v>
      </c>
      <c r="H7" s="13">
        <v>120</v>
      </c>
      <c r="I7" s="13">
        <v>140</v>
      </c>
      <c r="J7" s="13">
        <v>160</v>
      </c>
      <c r="K7" s="13">
        <v>180</v>
      </c>
      <c r="L7" s="13">
        <v>200</v>
      </c>
      <c r="M7" s="13">
        <v>220</v>
      </c>
      <c r="N7" s="13">
        <v>240</v>
      </c>
      <c r="O7" s="13">
        <v>260</v>
      </c>
      <c r="P7" s="13">
        <v>280</v>
      </c>
      <c r="Q7" s="13">
        <v>300</v>
      </c>
      <c r="R7" s="13">
        <v>320</v>
      </c>
      <c r="S7" s="13">
        <v>340</v>
      </c>
      <c r="T7" s="13">
        <v>360</v>
      </c>
      <c r="U7" s="13">
        <v>380</v>
      </c>
      <c r="V7" s="13">
        <v>400</v>
      </c>
      <c r="W7" s="13">
        <v>420</v>
      </c>
    </row>
    <row r="8" spans="1:23" ht="39" customHeight="1">
      <c r="A8" s="6" t="s">
        <v>591</v>
      </c>
      <c r="B8" s="14"/>
      <c r="C8" s="14"/>
      <c r="D8" s="15"/>
      <c r="E8" s="15"/>
      <c r="F8" s="15"/>
      <c r="G8" s="15"/>
      <c r="H8" s="15"/>
      <c r="I8" s="15"/>
      <c r="J8" s="15"/>
      <c r="K8" s="15"/>
      <c r="L8" s="15"/>
      <c r="M8" s="15"/>
      <c r="N8" s="15"/>
      <c r="O8" s="15"/>
      <c r="P8" s="15"/>
      <c r="Q8" s="15"/>
      <c r="R8" s="15"/>
      <c r="S8" s="15"/>
      <c r="T8" s="15"/>
      <c r="U8" s="15"/>
      <c r="V8" s="15"/>
      <c r="W8" s="15"/>
    </row>
    <row r="9" spans="1:23" ht="39" customHeight="1">
      <c r="A9" s="6" t="s">
        <v>592</v>
      </c>
      <c r="B9" s="16"/>
      <c r="C9" s="16"/>
      <c r="D9" s="14"/>
      <c r="E9" s="14"/>
      <c r="F9" s="14"/>
      <c r="G9" s="14"/>
      <c r="H9" s="15"/>
      <c r="I9" s="15"/>
      <c r="J9" s="15"/>
      <c r="K9" s="15"/>
      <c r="L9" s="15"/>
      <c r="M9" s="15"/>
      <c r="N9" s="15"/>
      <c r="O9" s="15"/>
      <c r="P9" s="15"/>
      <c r="Q9" s="15"/>
      <c r="R9" s="15"/>
      <c r="S9" s="15"/>
      <c r="T9" s="15"/>
      <c r="U9" s="15"/>
      <c r="V9" s="15"/>
      <c r="W9" s="15"/>
    </row>
    <row r="10" spans="1:23" ht="39" customHeight="1">
      <c r="A10" s="6" t="s">
        <v>593</v>
      </c>
      <c r="B10" s="16"/>
      <c r="C10" s="16"/>
      <c r="D10" s="16"/>
      <c r="E10" s="16"/>
      <c r="F10" s="16"/>
      <c r="G10" s="16"/>
      <c r="H10" s="14"/>
      <c r="I10" s="14"/>
      <c r="J10" s="14"/>
      <c r="K10" s="14"/>
      <c r="L10" s="14"/>
      <c r="M10" s="14"/>
      <c r="N10" s="14"/>
      <c r="O10" s="14"/>
      <c r="P10" s="14"/>
      <c r="Q10" s="14"/>
      <c r="R10" s="14"/>
      <c r="S10" s="15"/>
      <c r="T10" s="15"/>
      <c r="U10" s="15"/>
      <c r="V10" s="15"/>
      <c r="W10" s="15"/>
    </row>
    <row r="11" spans="1:23" ht="39" customHeight="1">
      <c r="A11" s="6" t="s">
        <v>594</v>
      </c>
      <c r="B11" s="14"/>
      <c r="C11" s="14"/>
      <c r="D11" s="14"/>
      <c r="E11" s="14"/>
      <c r="F11" s="14"/>
      <c r="G11" s="14"/>
      <c r="H11" s="14"/>
      <c r="I11" s="14"/>
      <c r="J11" s="14"/>
      <c r="K11" s="14"/>
      <c r="L11" s="14"/>
      <c r="M11" s="14"/>
      <c r="N11" s="14"/>
      <c r="O11" s="14"/>
      <c r="P11" s="14"/>
      <c r="Q11" s="14"/>
      <c r="R11" s="14"/>
      <c r="S11" s="14"/>
      <c r="T11" s="17"/>
      <c r="U11" s="17"/>
      <c r="V11" s="17"/>
      <c r="W11" s="17"/>
    </row>
    <row r="12" spans="1:23" ht="39" customHeight="1">
      <c r="A12" s="6" t="s">
        <v>595</v>
      </c>
      <c r="B12" s="16"/>
      <c r="C12" s="16"/>
      <c r="D12" s="16"/>
      <c r="E12" s="16"/>
      <c r="F12" s="16"/>
      <c r="G12" s="16"/>
      <c r="H12" s="18"/>
      <c r="I12" s="18"/>
      <c r="J12" s="18"/>
      <c r="K12" s="18"/>
      <c r="L12" s="18"/>
      <c r="M12" s="18"/>
      <c r="N12" s="18"/>
      <c r="O12" s="18"/>
      <c r="P12" s="18"/>
      <c r="Q12" s="18"/>
      <c r="R12" s="18"/>
      <c r="S12" s="18"/>
      <c r="T12" s="18"/>
      <c r="U12" s="18"/>
      <c r="V12" s="18"/>
      <c r="W12" s="17"/>
    </row>
    <row r="13" spans="1:23" ht="34" customHeight="1">
      <c r="A13" s="5" t="s">
        <v>596</v>
      </c>
      <c r="B13" s="5"/>
      <c r="C13" s="5"/>
      <c r="D13" s="5"/>
      <c r="E13" s="5"/>
      <c r="F13" s="5"/>
      <c r="G13" s="5"/>
      <c r="H13" s="5"/>
      <c r="I13" s="5"/>
      <c r="J13" s="5"/>
      <c r="K13" s="5"/>
      <c r="L13" s="5"/>
      <c r="M13" s="5"/>
      <c r="N13" s="5"/>
      <c r="O13" s="5"/>
      <c r="P13" s="5"/>
      <c r="Q13" s="5"/>
      <c r="R13" s="5"/>
      <c r="S13" s="5"/>
      <c r="T13" s="5"/>
      <c r="U13" s="5"/>
      <c r="V13" s="5"/>
      <c r="W13" s="5"/>
    </row>
    <row r="15" spans="1:23" ht="29" customHeight="1">
      <c r="A15" s="4" t="s">
        <v>597</v>
      </c>
      <c r="B15" s="4"/>
      <c r="C15" s="4"/>
      <c r="D15" s="4"/>
      <c r="E15" s="4"/>
      <c r="F15" s="4"/>
      <c r="G15" s="4"/>
      <c r="H15" s="4"/>
      <c r="I15" s="4"/>
      <c r="J15" s="4"/>
      <c r="K15" s="4"/>
      <c r="L15" s="4"/>
      <c r="M15" s="4"/>
      <c r="N15" s="4"/>
      <c r="O15" s="4"/>
      <c r="P15" s="4"/>
      <c r="Q15" s="4"/>
      <c r="R15" s="4"/>
      <c r="S15" s="4"/>
      <c r="T15" s="4"/>
      <c r="U15" s="4"/>
      <c r="V15" s="4"/>
      <c r="W15" s="4"/>
    </row>
    <row r="16" spans="1:23" ht="34" customHeight="1">
      <c r="A16" s="7" t="s">
        <v>590</v>
      </c>
      <c r="B16" s="13">
        <v>0</v>
      </c>
      <c r="C16" s="13">
        <v>20</v>
      </c>
      <c r="D16" s="13">
        <v>40</v>
      </c>
      <c r="E16" s="13">
        <v>60</v>
      </c>
      <c r="F16" s="13">
        <v>80</v>
      </c>
      <c r="G16" s="13">
        <v>100</v>
      </c>
      <c r="H16" s="13">
        <v>120</v>
      </c>
      <c r="I16" s="13">
        <v>140</v>
      </c>
      <c r="J16" s="13">
        <v>160</v>
      </c>
      <c r="K16" s="13">
        <v>180</v>
      </c>
      <c r="L16" s="13">
        <v>200</v>
      </c>
      <c r="M16" s="13">
        <v>220</v>
      </c>
      <c r="N16" s="13">
        <v>240</v>
      </c>
      <c r="O16" s="13">
        <v>260</v>
      </c>
      <c r="P16" s="13">
        <v>280</v>
      </c>
      <c r="Q16" s="13">
        <v>300</v>
      </c>
      <c r="R16" s="13">
        <v>320</v>
      </c>
      <c r="S16" s="13">
        <v>340</v>
      </c>
      <c r="T16" s="13">
        <v>360</v>
      </c>
      <c r="U16" s="13">
        <v>380</v>
      </c>
      <c r="V16" s="13">
        <v>400</v>
      </c>
      <c r="W16" s="13">
        <v>420</v>
      </c>
    </row>
    <row r="17" spans="1:23" ht="39" customHeight="1">
      <c r="A17" s="6" t="s">
        <v>591</v>
      </c>
      <c r="B17" s="14"/>
      <c r="C17" s="14"/>
      <c r="D17" s="15"/>
      <c r="E17" s="15"/>
      <c r="F17" s="15"/>
      <c r="G17" s="15"/>
      <c r="H17" s="15"/>
      <c r="I17" s="15"/>
      <c r="J17" s="15"/>
      <c r="K17" s="15"/>
      <c r="L17" s="15"/>
      <c r="M17" s="15"/>
      <c r="N17" s="15"/>
      <c r="O17" s="15"/>
      <c r="P17" s="15"/>
      <c r="Q17" s="15"/>
      <c r="R17" s="15"/>
      <c r="S17" s="15"/>
      <c r="T17" s="15"/>
      <c r="U17" s="15"/>
      <c r="V17" s="15"/>
      <c r="W17" s="15"/>
    </row>
    <row r="18" spans="1:23" ht="39" customHeight="1">
      <c r="A18" s="6" t="s">
        <v>598</v>
      </c>
      <c r="B18" s="16"/>
      <c r="C18" s="16"/>
      <c r="D18" s="14"/>
      <c r="E18" s="14"/>
      <c r="F18" s="14"/>
      <c r="G18" s="14"/>
      <c r="H18" s="14"/>
      <c r="I18" s="14"/>
      <c r="J18" s="14"/>
      <c r="K18" s="14"/>
      <c r="L18" s="14"/>
      <c r="M18" s="14"/>
      <c r="N18" s="15"/>
      <c r="O18" s="15"/>
      <c r="P18" s="15"/>
      <c r="Q18" s="15"/>
      <c r="R18" s="15"/>
      <c r="S18" s="15"/>
      <c r="T18" s="15"/>
      <c r="U18" s="15"/>
      <c r="V18" s="15"/>
      <c r="W18" s="15"/>
    </row>
    <row r="19" spans="1:23" ht="39" customHeight="1">
      <c r="A19" s="6" t="s">
        <v>599</v>
      </c>
      <c r="B19" s="16"/>
      <c r="C19" s="16"/>
      <c r="D19" s="14"/>
      <c r="E19" s="14"/>
      <c r="F19" s="14"/>
      <c r="G19" s="14"/>
      <c r="H19" s="14"/>
      <c r="I19" s="14"/>
      <c r="J19" s="14"/>
      <c r="K19" s="14"/>
      <c r="L19" s="14"/>
      <c r="M19" s="14"/>
      <c r="N19" s="15"/>
      <c r="O19" s="15"/>
      <c r="P19" s="15"/>
      <c r="Q19" s="15"/>
      <c r="R19" s="15"/>
      <c r="S19" s="15"/>
      <c r="T19" s="15"/>
      <c r="U19" s="15"/>
      <c r="V19" s="15"/>
      <c r="W19" s="15"/>
    </row>
    <row r="20" spans="1:23" ht="39" customHeight="1">
      <c r="A20" s="6" t="s">
        <v>600</v>
      </c>
      <c r="B20" s="14"/>
      <c r="C20" s="14"/>
      <c r="D20" s="14"/>
      <c r="E20" s="14"/>
      <c r="F20" s="14"/>
      <c r="G20" s="14"/>
      <c r="H20" s="14"/>
      <c r="I20" s="14"/>
      <c r="J20" s="14"/>
      <c r="K20" s="14"/>
      <c r="L20" s="14"/>
      <c r="M20" s="14"/>
      <c r="N20" s="14"/>
      <c r="O20" s="17"/>
      <c r="P20" s="17"/>
      <c r="Q20" s="17"/>
      <c r="R20" s="17"/>
      <c r="S20" s="17"/>
      <c r="T20" s="17"/>
      <c r="U20" s="17"/>
      <c r="V20" s="17"/>
      <c r="W20" s="17"/>
    </row>
    <row r="21" spans="1:23" ht="39" customHeight="1">
      <c r="A21" s="6" t="s">
        <v>601</v>
      </c>
      <c r="B21" s="16"/>
      <c r="C21" s="16"/>
      <c r="D21" s="18"/>
      <c r="E21" s="18"/>
      <c r="F21" s="18"/>
      <c r="G21" s="18"/>
      <c r="H21" s="18"/>
      <c r="I21" s="18"/>
      <c r="J21" s="18"/>
      <c r="K21" s="18"/>
      <c r="L21" s="18"/>
      <c r="M21" s="18"/>
      <c r="N21" s="18"/>
      <c r="O21" s="18"/>
      <c r="P21" s="18"/>
      <c r="Q21" s="18"/>
      <c r="R21" s="18"/>
      <c r="S21" s="17"/>
      <c r="T21" s="17"/>
      <c r="U21" s="17"/>
      <c r="V21" s="17"/>
      <c r="W21" s="17"/>
    </row>
    <row r="22" spans="1:23" ht="34" customHeight="1">
      <c r="A22" s="5" t="s">
        <v>602</v>
      </c>
      <c r="B22" s="5"/>
      <c r="C22" s="5"/>
      <c r="D22" s="5"/>
      <c r="E22" s="5"/>
      <c r="F22" s="5"/>
      <c r="G22" s="5"/>
      <c r="H22" s="5"/>
      <c r="I22" s="5"/>
      <c r="J22" s="5"/>
      <c r="K22" s="5"/>
      <c r="L22" s="5"/>
      <c r="M22" s="5"/>
      <c r="N22" s="5"/>
      <c r="O22" s="5"/>
      <c r="P22" s="5"/>
      <c r="Q22" s="5"/>
      <c r="R22" s="5"/>
      <c r="S22" s="5"/>
      <c r="T22" s="5"/>
      <c r="U22" s="5"/>
      <c r="V22" s="5"/>
      <c r="W22" s="5"/>
    </row>
    <row r="24" spans="1:23" ht="29" customHeight="1">
      <c r="A24" s="4" t="s">
        <v>603</v>
      </c>
      <c r="B24" s="4"/>
      <c r="C24" s="4"/>
      <c r="D24" s="4"/>
      <c r="E24" s="4"/>
      <c r="F24" s="4"/>
      <c r="G24" s="4"/>
      <c r="H24" s="4"/>
      <c r="I24" s="4"/>
      <c r="J24" s="4"/>
      <c r="K24" s="4"/>
      <c r="L24" s="4"/>
      <c r="M24" s="4"/>
      <c r="N24" s="4"/>
      <c r="O24" s="4"/>
      <c r="P24" s="4"/>
      <c r="Q24" s="4"/>
      <c r="R24" s="4"/>
      <c r="S24" s="4"/>
      <c r="T24" s="4"/>
      <c r="U24" s="4"/>
      <c r="V24" s="4"/>
      <c r="W24" s="4"/>
    </row>
    <row r="25" spans="1:23" ht="34" customHeight="1">
      <c r="A25" s="7" t="s">
        <v>590</v>
      </c>
      <c r="B25" s="13">
        <v>0</v>
      </c>
      <c r="C25" s="13">
        <v>20</v>
      </c>
      <c r="D25" s="13">
        <v>40</v>
      </c>
      <c r="E25" s="13">
        <v>60</v>
      </c>
      <c r="F25" s="13">
        <v>80</v>
      </c>
      <c r="G25" s="13">
        <v>100</v>
      </c>
      <c r="H25" s="13">
        <v>120</v>
      </c>
      <c r="I25" s="13">
        <v>140</v>
      </c>
      <c r="J25" s="13">
        <v>160</v>
      </c>
      <c r="K25" s="13">
        <v>180</v>
      </c>
      <c r="L25" s="13">
        <v>200</v>
      </c>
      <c r="M25" s="13">
        <v>220</v>
      </c>
      <c r="N25" s="13">
        <v>240</v>
      </c>
      <c r="O25" s="13">
        <v>260</v>
      </c>
      <c r="P25" s="13">
        <v>280</v>
      </c>
      <c r="Q25" s="13">
        <v>300</v>
      </c>
      <c r="R25" s="13">
        <v>320</v>
      </c>
      <c r="S25" s="13">
        <v>340</v>
      </c>
      <c r="T25" s="13">
        <v>360</v>
      </c>
      <c r="U25" s="13">
        <v>380</v>
      </c>
      <c r="V25" s="13">
        <v>400</v>
      </c>
      <c r="W25" s="13">
        <v>420</v>
      </c>
    </row>
    <row r="26" spans="1:23" ht="39" customHeight="1">
      <c r="A26" s="6" t="s">
        <v>604</v>
      </c>
      <c r="B26" s="14"/>
      <c r="C26" s="14"/>
      <c r="D26" s="15"/>
      <c r="E26" s="15"/>
      <c r="F26" s="15"/>
      <c r="G26" s="15"/>
      <c r="H26" s="15"/>
      <c r="I26" s="15"/>
      <c r="J26" s="17"/>
      <c r="K26" s="17"/>
      <c r="L26" s="17"/>
      <c r="M26" s="17"/>
      <c r="N26" s="17"/>
      <c r="O26" s="17"/>
      <c r="P26" s="17"/>
      <c r="Q26" s="17"/>
      <c r="R26" s="17"/>
      <c r="S26" s="17"/>
      <c r="T26" s="17"/>
      <c r="U26" s="17"/>
      <c r="V26" s="17"/>
      <c r="W26" s="17"/>
    </row>
    <row r="27" spans="1:23" ht="39" customHeight="1">
      <c r="A27" s="6" t="s">
        <v>605</v>
      </c>
      <c r="B27" s="16"/>
      <c r="C27" s="16"/>
      <c r="D27" s="14"/>
      <c r="E27" s="14"/>
      <c r="F27" s="14"/>
      <c r="G27" s="14"/>
      <c r="H27" s="14"/>
      <c r="I27" s="14"/>
      <c r="J27" s="17"/>
      <c r="K27" s="17"/>
      <c r="L27" s="17"/>
      <c r="M27" s="17"/>
      <c r="N27" s="17"/>
      <c r="O27" s="17"/>
      <c r="P27" s="17"/>
      <c r="Q27" s="17"/>
      <c r="R27" s="17"/>
      <c r="S27" s="17"/>
      <c r="T27" s="17"/>
      <c r="U27" s="17"/>
      <c r="V27" s="17"/>
      <c r="W27" s="17"/>
    </row>
    <row r="28" spans="1:23" ht="39" customHeight="1">
      <c r="A28" s="6" t="s">
        <v>606</v>
      </c>
      <c r="B28" s="17"/>
      <c r="C28" s="17"/>
      <c r="D28" s="17"/>
      <c r="E28" s="17"/>
      <c r="F28" s="17"/>
      <c r="G28" s="17"/>
      <c r="H28" s="17"/>
      <c r="I28" s="17"/>
      <c r="J28" s="17"/>
      <c r="K28" s="17"/>
      <c r="L28" s="17"/>
      <c r="M28" s="17"/>
      <c r="N28" s="17"/>
      <c r="O28" s="17"/>
      <c r="P28" s="17"/>
      <c r="Q28" s="17"/>
      <c r="R28" s="17"/>
      <c r="S28" s="17"/>
      <c r="T28" s="17"/>
      <c r="U28" s="17"/>
      <c r="V28" s="17"/>
      <c r="W28" s="17"/>
    </row>
    <row r="29" spans="1:23" ht="34" customHeight="1">
      <c r="A29" s="5" t="s">
        <v>607</v>
      </c>
      <c r="B29" s="5"/>
      <c r="C29" s="5"/>
      <c r="D29" s="5"/>
      <c r="E29" s="5"/>
      <c r="F29" s="5"/>
      <c r="G29" s="5"/>
      <c r="H29" s="5"/>
      <c r="I29" s="5"/>
      <c r="J29" s="5"/>
      <c r="K29" s="5"/>
      <c r="L29" s="5"/>
      <c r="M29" s="5"/>
      <c r="N29" s="5"/>
      <c r="O29" s="5"/>
      <c r="P29" s="5"/>
      <c r="Q29" s="5"/>
      <c r="R29" s="5"/>
      <c r="S29" s="5"/>
      <c r="T29" s="5"/>
      <c r="U29" s="5"/>
      <c r="V29" s="5"/>
      <c r="W29" s="5"/>
    </row>
    <row r="31" spans="1:23" ht="40" customHeight="1">
      <c r="A31" s="2" t="s">
        <v>608</v>
      </c>
      <c r="B31" s="2"/>
      <c r="C31" s="2"/>
      <c r="D31" s="2"/>
      <c r="E31" s="2"/>
      <c r="F31" s="2"/>
      <c r="G31" s="2"/>
      <c r="H31" s="2"/>
      <c r="I31" s="2"/>
      <c r="J31" s="2"/>
      <c r="K31" s="2"/>
      <c r="L31" s="2"/>
      <c r="M31" s="2"/>
      <c r="N31" s="2"/>
      <c r="O31" s="2"/>
      <c r="P31" s="2"/>
      <c r="Q31" s="2"/>
      <c r="R31" s="2"/>
      <c r="S31" s="2"/>
      <c r="T31" s="2"/>
      <c r="U31" s="2"/>
      <c r="V31" s="2"/>
      <c r="W31" s="2"/>
    </row>
  </sheetData>
  <mergeCells count="12">
    <mergeCell ref="A1:W1"/>
    <mergeCell ref="A2:W2"/>
    <mergeCell ref="A3:W3"/>
    <mergeCell ref="A4:K4"/>
    <mergeCell ref="L4:W4"/>
    <mergeCell ref="A6:W6"/>
    <mergeCell ref="A13:W13"/>
    <mergeCell ref="A15:W15"/>
    <mergeCell ref="A22:W22"/>
    <mergeCell ref="A24:W24"/>
    <mergeCell ref="A29:W29"/>
    <mergeCell ref="A31:W31"/>
  </mergeCells>
  <hyperlinks>
    <hyperlink ref="A4" location="'00_結論と読み方'!A1" display="目次へ"/>
    <hyperlink ref="L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1.xml><?xml version="1.0" encoding="utf-8"?>
<worksheet xmlns="http://schemas.openxmlformats.org/spreadsheetml/2006/main" xmlns:r="http://schemas.openxmlformats.org/officeDocument/2006/relationships">
  <sheetPr>
    <tabColor rgb="FF777777"/>
    <pageSetUpPr fitToPage="1"/>
  </sheetPr>
  <dimension ref="A1:D69"/>
  <sheetViews>
    <sheetView showGridLines="0" zoomScale="90" zoomScaleNormal="90" workbookViewId="0">
      <pane ySplit="5" topLeftCell="A6" activePane="bottomLeft" state="frozen"/>
      <selection pane="bottomLeft"/>
    </sheetView>
  </sheetViews>
  <sheetFormatPr defaultRowHeight="15"/>
  <cols>
    <col min="1" max="1" width="40.7109375" customWidth="1"/>
    <col min="2" max="2" width="20.7109375" customWidth="1"/>
    <col min="3" max="3" width="10.7109375" customWidth="1"/>
    <col min="4" max="4" width="90.7109375" customWidth="1"/>
  </cols>
  <sheetData>
    <row r="1" spans="1:4" ht="40" customHeight="1">
      <c r="A1" s="1" t="s">
        <v>609</v>
      </c>
      <c r="B1" s="1"/>
      <c r="C1" s="1"/>
      <c r="D1" s="1"/>
    </row>
    <row r="2" spans="1:4" ht="25" customHeight="1">
      <c r="A2" s="2" t="s">
        <v>1</v>
      </c>
      <c r="B2" s="2"/>
      <c r="C2" s="2"/>
      <c r="D2" s="2"/>
    </row>
    <row r="3" spans="1:4" ht="32" customHeight="1">
      <c r="A3" s="2" t="s">
        <v>610</v>
      </c>
      <c r="B3" s="2"/>
      <c r="C3" s="2"/>
      <c r="D3" s="2"/>
    </row>
    <row r="4" spans="1:4" ht="22" customHeight="1">
      <c r="A4" s="3" t="s">
        <v>3</v>
      </c>
      <c r="B4" s="3"/>
      <c r="C4" s="3" t="s">
        <v>4</v>
      </c>
      <c r="D4" s="3"/>
    </row>
    <row r="5" spans="1:4" ht="8" customHeight="1"/>
    <row r="6" spans="1:4" ht="29" customHeight="1">
      <c r="A6" s="4" t="s">
        <v>611</v>
      </c>
      <c r="B6" s="4"/>
      <c r="C6" s="4"/>
      <c r="D6" s="4"/>
    </row>
    <row r="7" spans="1:4" ht="30" customHeight="1">
      <c r="A7" s="7" t="s">
        <v>612</v>
      </c>
      <c r="B7" s="7" t="s">
        <v>310</v>
      </c>
      <c r="C7" s="7" t="s">
        <v>613</v>
      </c>
      <c r="D7" s="7"/>
    </row>
    <row r="8" spans="1:4" ht="63" customHeight="1">
      <c r="A8" s="5" t="s">
        <v>614</v>
      </c>
      <c r="B8" s="5" t="s">
        <v>615</v>
      </c>
      <c r="C8" s="5" t="s">
        <v>616</v>
      </c>
      <c r="D8" s="5"/>
    </row>
    <row r="9" spans="1:4" ht="63" customHeight="1">
      <c r="A9" s="8" t="s">
        <v>617</v>
      </c>
      <c r="B9" s="8" t="s">
        <v>618</v>
      </c>
      <c r="C9" s="8" t="s">
        <v>619</v>
      </c>
      <c r="D9" s="8"/>
    </row>
    <row r="10" spans="1:4" ht="46" customHeight="1">
      <c r="A10" s="5" t="s">
        <v>620</v>
      </c>
      <c r="B10" s="5" t="s">
        <v>621</v>
      </c>
      <c r="C10" s="5" t="s">
        <v>622</v>
      </c>
      <c r="D10" s="5"/>
    </row>
    <row r="11" spans="1:4" ht="63" customHeight="1">
      <c r="A11" s="8" t="s">
        <v>623</v>
      </c>
      <c r="B11" s="8" t="s">
        <v>624</v>
      </c>
      <c r="C11" s="8" t="s">
        <v>625</v>
      </c>
      <c r="D11" s="8"/>
    </row>
    <row r="12" spans="1:4" ht="63" customHeight="1">
      <c r="A12" s="5" t="s">
        <v>626</v>
      </c>
      <c r="B12" s="5" t="s">
        <v>627</v>
      </c>
      <c r="C12" s="5" t="s">
        <v>628</v>
      </c>
      <c r="D12" s="5"/>
    </row>
    <row r="13" spans="1:4" ht="46" customHeight="1">
      <c r="A13" s="8" t="s">
        <v>629</v>
      </c>
      <c r="B13" s="8" t="s">
        <v>630</v>
      </c>
      <c r="C13" s="8" t="s">
        <v>631</v>
      </c>
      <c r="D13" s="8"/>
    </row>
    <row r="14" spans="1:4" ht="63" customHeight="1">
      <c r="A14" s="5" t="s">
        <v>632</v>
      </c>
      <c r="B14" s="5" t="s">
        <v>102</v>
      </c>
      <c r="C14" s="5" t="s">
        <v>633</v>
      </c>
      <c r="D14" s="5"/>
    </row>
    <row r="15" spans="1:4" ht="10" customHeight="1"/>
    <row r="16" spans="1:4" ht="29" customHeight="1">
      <c r="A16" s="4" t="s">
        <v>634</v>
      </c>
      <c r="B16" s="4"/>
      <c r="C16" s="4"/>
      <c r="D16" s="4"/>
    </row>
    <row r="17" spans="1:4" ht="19" customHeight="1">
      <c r="A17" s="10" t="s">
        <v>635</v>
      </c>
      <c r="B17" s="10"/>
      <c r="C17" s="10"/>
      <c r="D17" s="10"/>
    </row>
    <row r="18" spans="1:4" ht="19" customHeight="1">
      <c r="A18" s="10" t="s">
        <v>636</v>
      </c>
      <c r="B18" s="10"/>
      <c r="C18" s="10"/>
      <c r="D18" s="10"/>
    </row>
    <row r="19" spans="1:4" ht="19" customHeight="1">
      <c r="A19" s="10" t="s">
        <v>637</v>
      </c>
      <c r="B19" s="10"/>
      <c r="C19" s="10"/>
      <c r="D19" s="10"/>
    </row>
    <row r="20" spans="1:4" ht="19" customHeight="1">
      <c r="A20" s="10" t="s">
        <v>638</v>
      </c>
      <c r="B20" s="10"/>
      <c r="C20" s="10"/>
      <c r="D20" s="10"/>
    </row>
    <row r="21" spans="1:4" ht="19" customHeight="1">
      <c r="A21" s="10" t="s">
        <v>639</v>
      </c>
      <c r="B21" s="10"/>
      <c r="C21" s="10"/>
      <c r="D21" s="10"/>
    </row>
    <row r="22" spans="1:4" ht="19" customHeight="1">
      <c r="A22" s="10" t="s">
        <v>640</v>
      </c>
      <c r="B22" s="10"/>
      <c r="C22" s="10"/>
      <c r="D22" s="10"/>
    </row>
    <row r="23" spans="1:4" ht="19" customHeight="1">
      <c r="A23" s="10" t="s">
        <v>336</v>
      </c>
      <c r="B23" s="10"/>
      <c r="C23" s="10"/>
      <c r="D23" s="10"/>
    </row>
    <row r="24" spans="1:4" ht="19" customHeight="1">
      <c r="A24" s="10" t="s">
        <v>641</v>
      </c>
      <c r="B24" s="10"/>
      <c r="C24" s="10"/>
      <c r="D24" s="10"/>
    </row>
    <row r="25" spans="1:4" ht="19" customHeight="1">
      <c r="A25" s="10" t="s">
        <v>642</v>
      </c>
      <c r="B25" s="10"/>
      <c r="C25" s="10"/>
      <c r="D25" s="10"/>
    </row>
    <row r="26" spans="1:4" ht="19" customHeight="1">
      <c r="A26" s="10" t="s">
        <v>643</v>
      </c>
      <c r="B26" s="10"/>
      <c r="C26" s="10"/>
      <c r="D26" s="10"/>
    </row>
    <row r="27" spans="1:4" ht="9" customHeight="1"/>
    <row r="28" spans="1:4" ht="63" customHeight="1">
      <c r="A28" s="6" t="s">
        <v>644</v>
      </c>
      <c r="B28" s="5" t="s">
        <v>645</v>
      </c>
      <c r="C28" s="5"/>
      <c r="D28" s="5"/>
    </row>
    <row r="29" spans="1:4" ht="8" customHeight="1"/>
    <row r="30" spans="1:4" ht="63" customHeight="1">
      <c r="A30" s="6" t="s">
        <v>646</v>
      </c>
      <c r="B30" s="5" t="s">
        <v>647</v>
      </c>
      <c r="C30" s="5"/>
      <c r="D30" s="5"/>
    </row>
    <row r="31" spans="1:4" ht="8" customHeight="1"/>
    <row r="32" spans="1:4" ht="63" customHeight="1">
      <c r="A32" s="6" t="s">
        <v>648</v>
      </c>
      <c r="B32" s="5" t="s">
        <v>649</v>
      </c>
      <c r="C32" s="5"/>
      <c r="D32" s="5"/>
    </row>
    <row r="33" spans="1:4" ht="8" customHeight="1"/>
    <row r="34" spans="1:4" ht="63" customHeight="1">
      <c r="A34" s="6" t="s">
        <v>650</v>
      </c>
      <c r="B34" s="5" t="s">
        <v>651</v>
      </c>
      <c r="C34" s="5"/>
      <c r="D34" s="5"/>
    </row>
    <row r="35" spans="1:4" ht="8" customHeight="1"/>
    <row r="36" spans="1:4" ht="29" customHeight="1">
      <c r="A36" s="4" t="s">
        <v>652</v>
      </c>
      <c r="B36" s="4"/>
      <c r="C36" s="4"/>
      <c r="D36" s="4"/>
    </row>
    <row r="37" spans="1:4" ht="36" customHeight="1">
      <c r="A37" s="2" t="s">
        <v>653</v>
      </c>
      <c r="B37" s="2"/>
      <c r="C37" s="2"/>
      <c r="D37" s="2"/>
    </row>
    <row r="38" spans="1:4" ht="34" customHeight="1">
      <c r="A38" s="8" t="s">
        <v>654</v>
      </c>
      <c r="B38" s="19" t="s">
        <v>657</v>
      </c>
      <c r="C38" s="8" t="s">
        <v>655</v>
      </c>
      <c r="D38" s="8" t="s">
        <v>656</v>
      </c>
    </row>
    <row r="39" spans="1:4" ht="34" customHeight="1">
      <c r="A39" s="8" t="s">
        <v>658</v>
      </c>
      <c r="B39" s="19">
        <v>20</v>
      </c>
      <c r="C39" s="8" t="s">
        <v>659</v>
      </c>
      <c r="D39" s="8" t="s">
        <v>660</v>
      </c>
    </row>
    <row r="40" spans="1:4" ht="34" customHeight="1">
      <c r="A40" s="8" t="s">
        <v>661</v>
      </c>
      <c r="B40" s="19">
        <v>200</v>
      </c>
      <c r="C40" s="8" t="s">
        <v>659</v>
      </c>
      <c r="D40" s="8" t="s">
        <v>662</v>
      </c>
    </row>
    <row r="41" spans="1:4" ht="34" customHeight="1">
      <c r="A41" s="8" t="s">
        <v>663</v>
      </c>
      <c r="B41" s="19">
        <v>200</v>
      </c>
      <c r="C41" s="8" t="s">
        <v>659</v>
      </c>
      <c r="D41" s="8" t="s">
        <v>664</v>
      </c>
    </row>
    <row r="42" spans="1:4" ht="34" customHeight="1">
      <c r="A42" s="8" t="s">
        <v>665</v>
      </c>
      <c r="B42" s="19">
        <v>5</v>
      </c>
      <c r="C42" s="8" t="s">
        <v>659</v>
      </c>
      <c r="D42" s="8" t="s">
        <v>666</v>
      </c>
    </row>
    <row r="43" spans="1:4" ht="34" customHeight="1">
      <c r="A43" s="8" t="s">
        <v>667</v>
      </c>
      <c r="B43" s="19">
        <v>10</v>
      </c>
      <c r="C43" s="8" t="s">
        <v>659</v>
      </c>
      <c r="D43" s="8" t="s">
        <v>668</v>
      </c>
    </row>
    <row r="44" spans="1:4" ht="34" customHeight="1">
      <c r="A44" s="8" t="s">
        <v>669</v>
      </c>
      <c r="B44" s="19">
        <v>10</v>
      </c>
      <c r="C44" s="8" t="s">
        <v>659</v>
      </c>
      <c r="D44" s="8" t="s">
        <v>668</v>
      </c>
    </row>
    <row r="45" spans="1:4" ht="34" customHeight="1">
      <c r="A45" s="8" t="s">
        <v>670</v>
      </c>
      <c r="B45" s="19">
        <v>5</v>
      </c>
      <c r="C45" s="8" t="s">
        <v>659</v>
      </c>
      <c r="D45" s="8" t="s">
        <v>671</v>
      </c>
    </row>
    <row r="46" spans="1:4" ht="34" customHeight="1">
      <c r="A46" s="8" t="s">
        <v>672</v>
      </c>
      <c r="B46" s="19">
        <v>25</v>
      </c>
      <c r="C46" s="8" t="s">
        <v>659</v>
      </c>
      <c r="D46" s="8" t="s">
        <v>673</v>
      </c>
    </row>
    <row r="47" spans="1:4" ht="34" customHeight="1">
      <c r="A47" s="8" t="s">
        <v>674</v>
      </c>
      <c r="B47" s="19">
        <v>10</v>
      </c>
      <c r="C47" s="8" t="s">
        <v>659</v>
      </c>
      <c r="D47" s="8" t="s">
        <v>675</v>
      </c>
    </row>
    <row r="48" spans="1:4" ht="34" customHeight="1">
      <c r="A48" s="8" t="s">
        <v>676</v>
      </c>
      <c r="B48" s="19">
        <v>2</v>
      </c>
      <c r="C48" s="8" t="s">
        <v>677</v>
      </c>
      <c r="D48" s="8" t="s">
        <v>678</v>
      </c>
    </row>
    <row r="49" spans="1:4" ht="34" customHeight="1">
      <c r="A49" s="8" t="s">
        <v>679</v>
      </c>
      <c r="B49" s="19">
        <v>2</v>
      </c>
      <c r="C49" s="8" t="s">
        <v>659</v>
      </c>
      <c r="D49" s="8" t="s">
        <v>680</v>
      </c>
    </row>
    <row r="50" spans="1:4" ht="34" customHeight="1">
      <c r="A50" s="8" t="s">
        <v>681</v>
      </c>
      <c r="B50" s="19">
        <v>60</v>
      </c>
      <c r="C50" s="8" t="s">
        <v>659</v>
      </c>
      <c r="D50" s="8" t="s">
        <v>682</v>
      </c>
    </row>
    <row r="51" spans="1:4" ht="34" customHeight="1">
      <c r="A51" s="8" t="s">
        <v>683</v>
      </c>
      <c r="B51" s="19">
        <v>300</v>
      </c>
      <c r="C51" s="8" t="s">
        <v>659</v>
      </c>
      <c r="D51" s="8" t="s">
        <v>684</v>
      </c>
    </row>
    <row r="52" spans="1:4" ht="34" customHeight="1">
      <c r="A52" s="8" t="s">
        <v>685</v>
      </c>
      <c r="B52" s="19">
        <v>120</v>
      </c>
      <c r="C52" s="8" t="s">
        <v>659</v>
      </c>
      <c r="D52" s="8" t="s">
        <v>686</v>
      </c>
    </row>
    <row r="53" spans="1:4" ht="34" customHeight="1">
      <c r="A53" s="8" t="s">
        <v>687</v>
      </c>
      <c r="B53" s="19">
        <v>120</v>
      </c>
      <c r="C53" s="8" t="s">
        <v>659</v>
      </c>
      <c r="D53" s="8" t="s">
        <v>688</v>
      </c>
    </row>
    <row r="55" spans="1:4" ht="29" customHeight="1">
      <c r="A55" s="4" t="s">
        <v>689</v>
      </c>
      <c r="B55" s="4"/>
      <c r="C55" s="4"/>
      <c r="D55" s="4"/>
    </row>
    <row r="56" spans="1:4" ht="38" customHeight="1">
      <c r="A56" s="8" t="s">
        <v>690</v>
      </c>
      <c r="B56" s="20">
        <f>B39+B42</f>
        <v>25</v>
      </c>
      <c r="C56" s="8" t="s">
        <v>659</v>
      </c>
      <c r="D56" s="5" t="s">
        <v>691</v>
      </c>
    </row>
    <row r="57" spans="1:4" ht="38" customHeight="1">
      <c r="A57" s="8" t="s">
        <v>692</v>
      </c>
      <c r="B57" s="20">
        <f>B40+B43</f>
        <v>210</v>
      </c>
      <c r="C57" s="8" t="s">
        <v>659</v>
      </c>
      <c r="D57" s="5" t="s">
        <v>693</v>
      </c>
    </row>
    <row r="58" spans="1:4" ht="38" customHeight="1">
      <c r="A58" s="8" t="s">
        <v>694</v>
      </c>
      <c r="B58" s="20">
        <f>B41+B44</f>
        <v>210</v>
      </c>
      <c r="C58" s="8" t="s">
        <v>659</v>
      </c>
      <c r="D58" s="5" t="s">
        <v>695</v>
      </c>
    </row>
    <row r="59" spans="1:4" ht="38" customHeight="1">
      <c r="A59" s="8" t="s">
        <v>696</v>
      </c>
      <c r="B59" s="20">
        <f>IF(B38="全並列",0,B56)</f>
        <v>25</v>
      </c>
      <c r="C59" s="8" t="s">
        <v>659</v>
      </c>
      <c r="D59" s="5" t="s">
        <v>697</v>
      </c>
    </row>
    <row r="60" spans="1:4" ht="38" customHeight="1">
      <c r="A60" s="8" t="s">
        <v>553</v>
      </c>
      <c r="B60" s="20">
        <f>IF(B38="直列",B59+B57,IF(B38="START",B59+B45,B59))</f>
        <v>25</v>
      </c>
      <c r="C60" s="8" t="s">
        <v>659</v>
      </c>
      <c r="D60" s="5" t="s">
        <v>698</v>
      </c>
    </row>
    <row r="61" spans="1:4" ht="38" customHeight="1">
      <c r="A61" s="8" t="s">
        <v>557</v>
      </c>
      <c r="B61" s="20">
        <f>IF(B38="JVM待機",B59+B40+B45,B60)</f>
        <v>25</v>
      </c>
      <c r="C61" s="8" t="s">
        <v>659</v>
      </c>
      <c r="D61" s="5" t="s">
        <v>699</v>
      </c>
    </row>
    <row r="62" spans="1:4" ht="38" customHeight="1">
      <c r="A62" s="8" t="s">
        <v>700</v>
      </c>
      <c r="B62" s="20">
        <f>MAX(B59+B40,B61+B41)</f>
        <v>225</v>
      </c>
      <c r="C62" s="8" t="s">
        <v>659</v>
      </c>
      <c r="D62" s="5" t="s">
        <v>701</v>
      </c>
    </row>
    <row r="63" spans="1:4" ht="38" customHeight="1">
      <c r="A63" s="8" t="s">
        <v>702</v>
      </c>
      <c r="B63" s="20">
        <f>B62+B47*B48+B49</f>
        <v>247</v>
      </c>
      <c r="C63" s="8" t="s">
        <v>659</v>
      </c>
      <c r="D63" s="5" t="s">
        <v>703</v>
      </c>
    </row>
    <row r="64" spans="1:4" ht="38" customHeight="1">
      <c r="A64" s="8" t="s">
        <v>704</v>
      </c>
      <c r="B64" s="20">
        <f>MAX(B56,B59+B57,B61+B58,B63)</f>
        <v>247</v>
      </c>
      <c r="C64" s="8" t="s">
        <v>659</v>
      </c>
      <c r="D64" s="5" t="s">
        <v>705</v>
      </c>
    </row>
    <row r="65" spans="1:4" ht="38" customHeight="1">
      <c r="A65" s="8" t="s">
        <v>706</v>
      </c>
      <c r="B65" s="20">
        <f>MAX(0,B64-B46)+B50</f>
        <v>282</v>
      </c>
      <c r="C65" s="8" t="s">
        <v>659</v>
      </c>
      <c r="D65" s="5" t="s">
        <v>707</v>
      </c>
    </row>
    <row r="66" spans="1:4" ht="38" customHeight="1">
      <c r="A66" s="8" t="s">
        <v>708</v>
      </c>
      <c r="B66" s="20">
        <f>ROUNDUP(B65/30,0)*30</f>
        <v>300</v>
      </c>
      <c r="C66" s="8" t="s">
        <v>659</v>
      </c>
      <c r="D66" s="5" t="s">
        <v>709</v>
      </c>
    </row>
    <row r="67" spans="1:4" ht="38" customHeight="1">
      <c r="A67" s="8" t="s">
        <v>710</v>
      </c>
      <c r="B67" s="20" t="str">
        <f>IF(B38="全並列","依存なし",IF(B56&lt;B52,"時間内","期限不足"))</f>
        <v>時間内</v>
      </c>
      <c r="C67" s="8" t="s">
        <v>711</v>
      </c>
      <c r="D67" s="5" t="s">
        <v>712</v>
      </c>
    </row>
    <row r="68" spans="1:4" ht="38" customHeight="1">
      <c r="A68" s="8" t="s">
        <v>713</v>
      </c>
      <c r="B68" s="20" t="str">
        <f>IF(B38="直列",IF(B57&lt;B53,"時間内","期限不足"),"依存なし")</f>
        <v>依存なし</v>
      </c>
      <c r="C68" s="8" t="s">
        <v>711</v>
      </c>
      <c r="D68" s="5" t="s">
        <v>714</v>
      </c>
    </row>
    <row r="69" spans="1:4" ht="38" customHeight="1">
      <c r="A69" s="8" t="s">
        <v>715</v>
      </c>
      <c r="B69" s="20" t="str">
        <f>IF(OR(B67="期限不足",B68="期限不足"),"依存構成の見直し",IF(B51&gt;=B65,"仮定上は猶予内","猶予不足"))</f>
        <v>仮定上は猶予内</v>
      </c>
      <c r="C69" s="8" t="s">
        <v>711</v>
      </c>
      <c r="D69" s="5" t="s">
        <v>716</v>
      </c>
    </row>
  </sheetData>
  <mergeCells count="32">
    <mergeCell ref="A1:D1"/>
    <mergeCell ref="A2:D2"/>
    <mergeCell ref="A3:D3"/>
    <mergeCell ref="A4:B4"/>
    <mergeCell ref="C4:D4"/>
    <mergeCell ref="A6:D6"/>
    <mergeCell ref="C7:D7"/>
    <mergeCell ref="C8:D8"/>
    <mergeCell ref="C9:D9"/>
    <mergeCell ref="C10:D10"/>
    <mergeCell ref="C11:D11"/>
    <mergeCell ref="C12:D12"/>
    <mergeCell ref="C13:D13"/>
    <mergeCell ref="C14:D14"/>
    <mergeCell ref="A16:D16"/>
    <mergeCell ref="A17:D17"/>
    <mergeCell ref="A18:D18"/>
    <mergeCell ref="A19:D19"/>
    <mergeCell ref="A20:D20"/>
    <mergeCell ref="A21:D21"/>
    <mergeCell ref="A22:D22"/>
    <mergeCell ref="A23:D23"/>
    <mergeCell ref="A24:D24"/>
    <mergeCell ref="A25:D25"/>
    <mergeCell ref="A26:D26"/>
    <mergeCell ref="B28:D28"/>
    <mergeCell ref="B30:D30"/>
    <mergeCell ref="B32:D32"/>
    <mergeCell ref="B34:D34"/>
    <mergeCell ref="A36:D36"/>
    <mergeCell ref="A37:D37"/>
    <mergeCell ref="A55:D55"/>
  </mergeCells>
  <dataValidations count="16">
    <dataValidation type="list" allowBlank="1" showInputMessage="1" showErrorMessage="1" errorTitle="リストから選択" error="有効な構成モードを選んでください。" promptTitle="構成モード" prompt="時間の足し方を切り替えます。" sqref="B38">
      <formula1>"全並列,直列,ADOT後に並列,START,JVM待機"</formula1>
    </dataValidation>
    <dataValidation type="decimal" allowBlank="1" showInputMessage="1" showErrorMessage="1" errorTitle="入力範囲を確認" error="0〜1000000を入力してください。" sqref="B39">
      <formula1>0</formula1>
      <formula2>1000000</formula2>
    </dataValidation>
    <dataValidation type="decimal" allowBlank="1" showInputMessage="1" showErrorMessage="1" errorTitle="入力範囲を確認" error="0〜1000000を入力してください。" sqref="B40">
      <formula1>0</formula1>
      <formula2>1000000</formula2>
    </dataValidation>
    <dataValidation type="decimal" allowBlank="1" showInputMessage="1" showErrorMessage="1" errorTitle="入力範囲を確認" error="0〜1000000を入力してください。" sqref="B41">
      <formula1>0</formula1>
      <formula2>1000000</formula2>
    </dataValidation>
    <dataValidation type="decimal" allowBlank="1" showInputMessage="1" showErrorMessage="1" errorTitle="入力範囲を確認" error="0〜1000000を入力してください。" sqref="B42">
      <formula1>0</formula1>
      <formula2>1000000</formula2>
    </dataValidation>
    <dataValidation type="decimal" allowBlank="1" showInputMessage="1" showErrorMessage="1" errorTitle="入力範囲を確認" error="0〜1000000を入力してください。" sqref="B43">
      <formula1>0</formula1>
      <formula2>1000000</formula2>
    </dataValidation>
    <dataValidation type="decimal" allowBlank="1" showInputMessage="1" showErrorMessage="1" errorTitle="入力範囲を確認" error="0〜1000000を入力してください。" sqref="B44">
      <formula1>0</formula1>
      <formula2>1000000</formula2>
    </dataValidation>
    <dataValidation type="decimal" allowBlank="1" showInputMessage="1" showErrorMessage="1" errorTitle="入力範囲を確認" error="0〜1000000を入力してください。" sqref="B45">
      <formula1>0</formula1>
      <formula2>1000000</formula2>
    </dataValidation>
    <dataValidation type="decimal" allowBlank="1" showInputMessage="1" showErrorMessage="1" errorTitle="入力範囲を確認" error="0〜1000000を入力してください。" sqref="B46">
      <formula1>0</formula1>
      <formula2>1000000</formula2>
    </dataValidation>
    <dataValidation type="whole" allowBlank="1" showInputMessage="1" showErrorMessage="1" errorTitle="入力範囲を確認" error="5〜300を入力してください。" sqref="B47">
      <formula1>5</formula1>
      <formula2>300</formula2>
    </dataValidation>
    <dataValidation type="whole" allowBlank="1" showInputMessage="1" showErrorMessage="1" errorTitle="入力範囲を確認" error="2〜10を入力してください。" sqref="B48">
      <formula1>2</formula1>
      <formula2>10</formula2>
    </dataValidation>
    <dataValidation type="decimal" allowBlank="1" showInputMessage="1" showErrorMessage="1" errorTitle="入力範囲を確認" error="0〜1000000を入力してください。" sqref="B49">
      <formula1>0</formula1>
      <formula2>1000000</formula2>
    </dataValidation>
    <dataValidation type="decimal" allowBlank="1" showInputMessage="1" showErrorMessage="1" errorTitle="入力範囲を確認" error="0〜1000000を入力してください。" sqref="B50">
      <formula1>0</formula1>
      <formula2>1000000</formula2>
    </dataValidation>
    <dataValidation type="whole" allowBlank="1" showInputMessage="1" showErrorMessage="1" errorTitle="入力範囲を確認" error="0〜2147483647を入力してください。" sqref="B51">
      <formula1>0</formula1>
      <formula2>2147483647</formula2>
    </dataValidation>
    <dataValidation type="whole" allowBlank="1" showInputMessage="1" showErrorMessage="1" errorTitle="入力範囲を確認" error="2〜120を入力してください。" sqref="B52">
      <formula1>2</formula1>
      <formula2>120</formula2>
    </dataValidation>
    <dataValidation type="whole" allowBlank="1" showInputMessage="1" showErrorMessage="1" errorTitle="入力範囲を確認" error="2〜120を入力してください。" sqref="B53">
      <formula1>2</formula1>
      <formula2>120</formula2>
    </dataValidation>
  </dataValidations>
  <hyperlinks>
    <hyperlink ref="A4" location="'00_結論と読み方'!A1" display="目次へ"/>
    <hyperlink ref="C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2.xml><?xml version="1.0" encoding="utf-8"?>
<worksheet xmlns="http://schemas.openxmlformats.org/spreadsheetml/2006/main" xmlns:r="http://schemas.openxmlformats.org/officeDocument/2006/relationships">
  <sheetPr>
    <tabColor rgb="FF777777"/>
    <pageSetUpPr fitToPage="1"/>
  </sheetPr>
  <dimension ref="A1:AV36"/>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717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718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719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720</v>
      </c>
      <c r="B7" s="7"/>
      <c r="C7" s="7"/>
      <c r="D7" s="7"/>
      <c r="E7" s="7"/>
      <c r="F7" s="7"/>
      <c r="G7" s="7"/>
      <c r="H7" s="7"/>
      <c r="I7" s="7" t="s">
        <v>721</v>
      </c>
      <c r="J7" s="7"/>
      <c r="K7" s="7"/>
      <c r="L7" s="7"/>
      <c r="M7" s="7"/>
      <c r="N7" s="7"/>
      <c r="O7" s="7"/>
      <c r="P7" s="7"/>
      <c r="Q7" s="7"/>
      <c r="R7" s="7"/>
      <c r="S7" s="7"/>
      <c r="T7" s="7"/>
      <c r="U7" s="7"/>
      <c r="V7" s="7"/>
      <c r="W7" s="7"/>
      <c r="X7" s="7" t="s">
        <v>722</v>
      </c>
      <c r="Y7" s="7"/>
      <c r="Z7" s="7"/>
      <c r="AA7" s="7"/>
      <c r="AB7" s="7"/>
      <c r="AC7" s="7"/>
      <c r="AD7" s="7"/>
      <c r="AE7" s="7"/>
      <c r="AF7" s="7"/>
      <c r="AG7" s="7"/>
      <c r="AH7" s="7"/>
      <c r="AI7" s="7"/>
      <c r="AJ7" s="7"/>
      <c r="AK7" s="7"/>
      <c r="AL7" s="7"/>
      <c r="AM7" s="7"/>
      <c r="AN7" s="7"/>
      <c r="AO7" s="7"/>
      <c r="AP7" s="7"/>
      <c r="AQ7" s="7"/>
      <c r="AR7" s="7"/>
      <c r="AS7" s="7"/>
      <c r="AT7" s="7"/>
      <c r="AU7" s="7"/>
      <c r="AV7" s="7"/>
    </row>
    <row r="8" spans="1:48" ht="29" customHeight="1">
      <c r="A8" s="5" t="s">
        <v>723</v>
      </c>
      <c r="B8" s="5"/>
      <c r="C8" s="5"/>
      <c r="D8" s="5"/>
      <c r="E8" s="5"/>
      <c r="F8" s="5"/>
      <c r="G8" s="5"/>
      <c r="H8" s="5"/>
      <c r="I8" s="5" t="s">
        <v>724</v>
      </c>
      <c r="J8" s="5"/>
      <c r="K8" s="5"/>
      <c r="L8" s="5"/>
      <c r="M8" s="5"/>
      <c r="N8" s="5"/>
      <c r="O8" s="5"/>
      <c r="P8" s="5"/>
      <c r="Q8" s="5"/>
      <c r="R8" s="5"/>
      <c r="S8" s="5"/>
      <c r="T8" s="5"/>
      <c r="U8" s="5"/>
      <c r="V8" s="5"/>
      <c r="W8" s="5"/>
      <c r="X8" s="5" t="s">
        <v>725</v>
      </c>
      <c r="Y8" s="5"/>
      <c r="Z8" s="5"/>
      <c r="AA8" s="5"/>
      <c r="AB8" s="5"/>
      <c r="AC8" s="5"/>
      <c r="AD8" s="5"/>
      <c r="AE8" s="5"/>
      <c r="AF8" s="5"/>
      <c r="AG8" s="5"/>
      <c r="AH8" s="5"/>
      <c r="AI8" s="5"/>
      <c r="AJ8" s="5"/>
      <c r="AK8" s="5"/>
      <c r="AL8" s="5"/>
      <c r="AM8" s="5"/>
      <c r="AN8" s="5"/>
      <c r="AO8" s="5"/>
      <c r="AP8" s="5"/>
      <c r="AQ8" s="5"/>
      <c r="AR8" s="5"/>
      <c r="AS8" s="5"/>
      <c r="AT8" s="5"/>
      <c r="AU8" s="5"/>
      <c r="AV8" s="5"/>
    </row>
    <row r="9" spans="1:48" ht="29" customHeight="1">
      <c r="A9" s="8" t="s">
        <v>726</v>
      </c>
      <c r="B9" s="8"/>
      <c r="C9" s="8"/>
      <c r="D9" s="8"/>
      <c r="E9" s="8"/>
      <c r="F9" s="8"/>
      <c r="G9" s="8"/>
      <c r="H9" s="8"/>
      <c r="I9" s="8" t="s">
        <v>727</v>
      </c>
      <c r="J9" s="8"/>
      <c r="K9" s="8"/>
      <c r="L9" s="8"/>
      <c r="M9" s="8"/>
      <c r="N9" s="8"/>
      <c r="O9" s="8"/>
      <c r="P9" s="8"/>
      <c r="Q9" s="8"/>
      <c r="R9" s="8"/>
      <c r="S9" s="8"/>
      <c r="T9" s="8"/>
      <c r="U9" s="8"/>
      <c r="V9" s="8"/>
      <c r="W9" s="8"/>
      <c r="X9" s="8" t="s">
        <v>728</v>
      </c>
      <c r="Y9" s="8"/>
      <c r="Z9" s="8"/>
      <c r="AA9" s="8"/>
      <c r="AB9" s="8"/>
      <c r="AC9" s="8"/>
      <c r="AD9" s="8"/>
      <c r="AE9" s="8"/>
      <c r="AF9" s="8"/>
      <c r="AG9" s="8"/>
      <c r="AH9" s="8"/>
      <c r="AI9" s="8"/>
      <c r="AJ9" s="8"/>
      <c r="AK9" s="8"/>
      <c r="AL9" s="8"/>
      <c r="AM9" s="8"/>
      <c r="AN9" s="8"/>
      <c r="AO9" s="8"/>
      <c r="AP9" s="8"/>
      <c r="AQ9" s="8"/>
      <c r="AR9" s="8"/>
      <c r="AS9" s="8"/>
      <c r="AT9" s="8"/>
      <c r="AU9" s="8"/>
      <c r="AV9" s="8"/>
    </row>
    <row r="10" spans="1:48" ht="29" customHeight="1">
      <c r="A10" s="5" t="s">
        <v>729</v>
      </c>
      <c r="B10" s="5"/>
      <c r="C10" s="5"/>
      <c r="D10" s="5"/>
      <c r="E10" s="5"/>
      <c r="F10" s="5"/>
      <c r="G10" s="5"/>
      <c r="H10" s="5"/>
      <c r="I10" s="5" t="s">
        <v>730</v>
      </c>
      <c r="J10" s="5"/>
      <c r="K10" s="5"/>
      <c r="L10" s="5"/>
      <c r="M10" s="5"/>
      <c r="N10" s="5"/>
      <c r="O10" s="5"/>
      <c r="P10" s="5"/>
      <c r="Q10" s="5"/>
      <c r="R10" s="5"/>
      <c r="S10" s="5"/>
      <c r="T10" s="5"/>
      <c r="U10" s="5"/>
      <c r="V10" s="5"/>
      <c r="W10" s="5"/>
      <c r="X10" s="5" t="s">
        <v>731</v>
      </c>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ht="29" customHeight="1">
      <c r="A11" s="8" t="s">
        <v>732</v>
      </c>
      <c r="B11" s="8"/>
      <c r="C11" s="8"/>
      <c r="D11" s="8"/>
      <c r="E11" s="8"/>
      <c r="F11" s="8"/>
      <c r="G11" s="8"/>
      <c r="H11" s="8"/>
      <c r="I11" s="8" t="s">
        <v>733</v>
      </c>
      <c r="J11" s="8"/>
      <c r="K11" s="8"/>
      <c r="L11" s="8"/>
      <c r="M11" s="8"/>
      <c r="N11" s="8"/>
      <c r="O11" s="8"/>
      <c r="P11" s="8"/>
      <c r="Q11" s="8"/>
      <c r="R11" s="8"/>
      <c r="S11" s="8"/>
      <c r="T11" s="8"/>
      <c r="U11" s="8"/>
      <c r="V11" s="8"/>
      <c r="W11" s="8"/>
      <c r="X11" s="8" t="s">
        <v>734</v>
      </c>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ht="29" customHeight="1">
      <c r="A12" s="5" t="s">
        <v>735</v>
      </c>
      <c r="B12" s="5"/>
      <c r="C12" s="5"/>
      <c r="D12" s="5"/>
      <c r="E12" s="5"/>
      <c r="F12" s="5"/>
      <c r="G12" s="5"/>
      <c r="H12" s="5"/>
      <c r="I12" s="5" t="s">
        <v>736</v>
      </c>
      <c r="J12" s="5"/>
      <c r="K12" s="5"/>
      <c r="L12" s="5"/>
      <c r="M12" s="5"/>
      <c r="N12" s="5"/>
      <c r="O12" s="5"/>
      <c r="P12" s="5"/>
      <c r="Q12" s="5"/>
      <c r="R12" s="5"/>
      <c r="S12" s="5"/>
      <c r="T12" s="5"/>
      <c r="U12" s="5"/>
      <c r="V12" s="5"/>
      <c r="W12" s="5"/>
      <c r="X12" s="5" t="s">
        <v>737</v>
      </c>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21" customHeight="1">
      <c r="A13" s="9" t="s">
        <v>738</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row>
    <row r="14" spans="1:48" ht="10" customHeight="1"/>
    <row r="15" spans="1:48" ht="29" customHeight="1">
      <c r="A15" s="4" t="s">
        <v>739</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1:48" ht="30" customHeight="1">
      <c r="A16" s="7" t="s">
        <v>138</v>
      </c>
      <c r="B16" s="7"/>
      <c r="C16" s="7"/>
      <c r="D16" s="7"/>
      <c r="E16" s="7"/>
      <c r="F16" s="7"/>
      <c r="G16" s="7"/>
      <c r="H16" s="7" t="s">
        <v>740</v>
      </c>
      <c r="I16" s="7"/>
      <c r="J16" s="7"/>
      <c r="K16" s="7"/>
      <c r="L16" s="7"/>
      <c r="M16" s="7"/>
      <c r="N16" s="7"/>
      <c r="O16" s="7"/>
      <c r="P16" s="7"/>
      <c r="Q16" s="7"/>
      <c r="R16" s="7"/>
      <c r="S16" s="7"/>
      <c r="T16" s="7"/>
      <c r="U16" s="7" t="s">
        <v>741</v>
      </c>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row>
    <row r="17" spans="1:48" ht="29" customHeight="1">
      <c r="A17" s="5" t="s">
        <v>491</v>
      </c>
      <c r="B17" s="5"/>
      <c r="C17" s="5"/>
      <c r="D17" s="5"/>
      <c r="E17" s="5"/>
      <c r="F17" s="5"/>
      <c r="G17" s="5"/>
      <c r="H17" s="5" t="s">
        <v>742</v>
      </c>
      <c r="I17" s="5"/>
      <c r="J17" s="5"/>
      <c r="K17" s="5"/>
      <c r="L17" s="5"/>
      <c r="M17" s="5"/>
      <c r="N17" s="5"/>
      <c r="O17" s="5"/>
      <c r="P17" s="5"/>
      <c r="Q17" s="5"/>
      <c r="R17" s="5"/>
      <c r="S17" s="5"/>
      <c r="T17" s="5"/>
      <c r="U17" s="5" t="s">
        <v>743</v>
      </c>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29" customHeight="1">
      <c r="A18" s="8" t="s">
        <v>490</v>
      </c>
      <c r="B18" s="8"/>
      <c r="C18" s="8"/>
      <c r="D18" s="8"/>
      <c r="E18" s="8"/>
      <c r="F18" s="8"/>
      <c r="G18" s="8"/>
      <c r="H18" s="8" t="s">
        <v>744</v>
      </c>
      <c r="I18" s="8"/>
      <c r="J18" s="8"/>
      <c r="K18" s="8"/>
      <c r="L18" s="8"/>
      <c r="M18" s="8"/>
      <c r="N18" s="8"/>
      <c r="O18" s="8"/>
      <c r="P18" s="8"/>
      <c r="Q18" s="8"/>
      <c r="R18" s="8"/>
      <c r="S18" s="8"/>
      <c r="T18" s="8"/>
      <c r="U18" s="8" t="s">
        <v>745</v>
      </c>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row>
    <row r="19" spans="1:48" ht="29" customHeight="1">
      <c r="A19" s="5" t="s">
        <v>487</v>
      </c>
      <c r="B19" s="5"/>
      <c r="C19" s="5"/>
      <c r="D19" s="5"/>
      <c r="E19" s="5"/>
      <c r="F19" s="5"/>
      <c r="G19" s="5"/>
      <c r="H19" s="5" t="s">
        <v>746</v>
      </c>
      <c r="I19" s="5"/>
      <c r="J19" s="5"/>
      <c r="K19" s="5"/>
      <c r="L19" s="5"/>
      <c r="M19" s="5"/>
      <c r="N19" s="5"/>
      <c r="O19" s="5"/>
      <c r="P19" s="5"/>
      <c r="Q19" s="5"/>
      <c r="R19" s="5"/>
      <c r="S19" s="5"/>
      <c r="T19" s="5"/>
      <c r="U19" s="5" t="s">
        <v>747</v>
      </c>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ht="29" customHeight="1">
      <c r="A20" s="8" t="s">
        <v>492</v>
      </c>
      <c r="B20" s="8"/>
      <c r="C20" s="8"/>
      <c r="D20" s="8"/>
      <c r="E20" s="8"/>
      <c r="F20" s="8"/>
      <c r="G20" s="8"/>
      <c r="H20" s="8" t="s">
        <v>748</v>
      </c>
      <c r="I20" s="8"/>
      <c r="J20" s="8"/>
      <c r="K20" s="8"/>
      <c r="L20" s="8"/>
      <c r="M20" s="8"/>
      <c r="N20" s="8"/>
      <c r="O20" s="8"/>
      <c r="P20" s="8"/>
      <c r="Q20" s="8"/>
      <c r="R20" s="8"/>
      <c r="S20" s="8"/>
      <c r="T20" s="8"/>
      <c r="U20" s="8" t="s">
        <v>749</v>
      </c>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row>
    <row r="21" spans="1:48" ht="21" customHeight="1">
      <c r="A21" s="9" t="s">
        <v>750</v>
      </c>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row>
    <row r="22" spans="1:48" ht="10" customHeight="1"/>
    <row r="23" spans="1:48" ht="63" customHeight="1">
      <c r="A23" s="6" t="s">
        <v>751</v>
      </c>
      <c r="B23" s="6"/>
      <c r="C23" s="6"/>
      <c r="D23" s="6"/>
      <c r="E23" s="6"/>
      <c r="F23" s="6"/>
      <c r="G23" s="6"/>
      <c r="H23" s="6"/>
      <c r="I23" s="6"/>
      <c r="J23" s="6"/>
      <c r="K23" s="5" t="s">
        <v>752</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ht="21" customHeight="1">
      <c r="A24" s="9" t="s">
        <v>753</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spans="1:48" ht="8" customHeight="1"/>
    <row r="26" spans="1:48" ht="63" customHeight="1">
      <c r="A26" s="6" t="s">
        <v>754</v>
      </c>
      <c r="B26" s="6"/>
      <c r="C26" s="6"/>
      <c r="D26" s="6"/>
      <c r="E26" s="6"/>
      <c r="F26" s="6"/>
      <c r="G26" s="6"/>
      <c r="H26" s="6"/>
      <c r="I26" s="6"/>
      <c r="J26" s="6"/>
      <c r="K26" s="5" t="s">
        <v>755</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21" customHeight="1">
      <c r="A27" s="9" t="s">
        <v>738</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ht="8" customHeight="1"/>
    <row r="29" spans="1:48" ht="63" customHeight="1">
      <c r="A29" s="6" t="s">
        <v>756</v>
      </c>
      <c r="B29" s="6"/>
      <c r="C29" s="6"/>
      <c r="D29" s="6"/>
      <c r="E29" s="6"/>
      <c r="F29" s="6"/>
      <c r="G29" s="6"/>
      <c r="H29" s="6"/>
      <c r="I29" s="6"/>
      <c r="J29" s="6"/>
      <c r="K29" s="5" t="s">
        <v>757</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8" customHeight="1"/>
    <row r="31" spans="1:48" ht="63" customHeight="1">
      <c r="A31" s="6" t="s">
        <v>758</v>
      </c>
      <c r="B31" s="6"/>
      <c r="C31" s="6"/>
      <c r="D31" s="6"/>
      <c r="E31" s="6"/>
      <c r="F31" s="6"/>
      <c r="G31" s="6"/>
      <c r="H31" s="6"/>
      <c r="I31" s="6"/>
      <c r="J31" s="6"/>
      <c r="K31" s="5" t="s">
        <v>759</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ht="21" customHeight="1">
      <c r="A32" s="9" t="s">
        <v>760</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row>
    <row r="33" spans="1:48" ht="8" customHeight="1"/>
    <row r="34" spans="1:48" ht="46" customHeight="1">
      <c r="A34" s="6" t="s">
        <v>761</v>
      </c>
      <c r="B34" s="6"/>
      <c r="C34" s="6"/>
      <c r="D34" s="6"/>
      <c r="E34" s="6"/>
      <c r="F34" s="6"/>
      <c r="G34" s="6"/>
      <c r="H34" s="6"/>
      <c r="I34" s="6"/>
      <c r="J34" s="6"/>
      <c r="K34" s="5" t="s">
        <v>762</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ht="21" customHeight="1">
      <c r="A35" s="9" t="s">
        <v>763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row>
    <row r="36" spans="1:48" ht="8" customHeight="1"/>
  </sheetData>
  <mergeCells count="56">
    <mergeCell ref="A1:AV1"/>
    <mergeCell ref="A2:AV2"/>
    <mergeCell ref="A3:AV3"/>
    <mergeCell ref="A4:X4"/>
    <mergeCell ref="Y4:AV4"/>
    <mergeCell ref="A6:AV6"/>
    <mergeCell ref="A7:H7"/>
    <mergeCell ref="I7:W7"/>
    <mergeCell ref="X7:AV7"/>
    <mergeCell ref="A8:H8"/>
    <mergeCell ref="I8:W8"/>
    <mergeCell ref="X8:AV8"/>
    <mergeCell ref="A9:H9"/>
    <mergeCell ref="I9:W9"/>
    <mergeCell ref="X9:AV9"/>
    <mergeCell ref="A10:H10"/>
    <mergeCell ref="I10:W10"/>
    <mergeCell ref="X10:AV10"/>
    <mergeCell ref="A11:H11"/>
    <mergeCell ref="I11:W11"/>
    <mergeCell ref="X11:AV11"/>
    <mergeCell ref="A12:H12"/>
    <mergeCell ref="I12:W12"/>
    <mergeCell ref="X12:AV12"/>
    <mergeCell ref="A13:AV13"/>
    <mergeCell ref="A15:AV15"/>
    <mergeCell ref="A16:G16"/>
    <mergeCell ref="H16:T16"/>
    <mergeCell ref="U16:AV16"/>
    <mergeCell ref="A17:G17"/>
    <mergeCell ref="H17:T17"/>
    <mergeCell ref="U17:AV17"/>
    <mergeCell ref="A18:G18"/>
    <mergeCell ref="H18:T18"/>
    <mergeCell ref="U18:AV18"/>
    <mergeCell ref="A19:G19"/>
    <mergeCell ref="H19:T19"/>
    <mergeCell ref="U19:AV19"/>
    <mergeCell ref="A20:G20"/>
    <mergeCell ref="H20:T20"/>
    <mergeCell ref="U20:AV20"/>
    <mergeCell ref="A21:AV21"/>
    <mergeCell ref="A23:J23"/>
    <mergeCell ref="K23:AV23"/>
    <mergeCell ref="A24:AV24"/>
    <mergeCell ref="A26:J26"/>
    <mergeCell ref="K26:AV26"/>
    <mergeCell ref="A27:AV27"/>
    <mergeCell ref="A29:J29"/>
    <mergeCell ref="K29:AV29"/>
    <mergeCell ref="A31:J31"/>
    <mergeCell ref="K31:AV31"/>
    <mergeCell ref="A32:AV32"/>
    <mergeCell ref="A34:J34"/>
    <mergeCell ref="K34:AV34"/>
    <mergeCell ref="A35:AV35"/>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3.xml><?xml version="1.0" encoding="utf-8"?>
<worksheet xmlns="http://schemas.openxmlformats.org/spreadsheetml/2006/main" xmlns:r="http://schemas.openxmlformats.org/officeDocument/2006/relationships">
  <sheetPr>
    <tabColor rgb="FF777777"/>
    <pageSetUpPr fitToPage="1"/>
  </sheetPr>
  <dimension ref="A1:AV26"/>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764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765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63" customHeight="1">
      <c r="A6" s="6" t="s">
        <v>766</v>
      </c>
      <c r="B6" s="6"/>
      <c r="C6" s="6"/>
      <c r="D6" s="6"/>
      <c r="E6" s="6"/>
      <c r="F6" s="6"/>
      <c r="G6" s="6"/>
      <c r="H6" s="6"/>
      <c r="I6" s="6"/>
      <c r="J6" s="6"/>
      <c r="K6" s="5" t="s">
        <v>767</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48" ht="21" customHeight="1">
      <c r="A7" s="9" t="s">
        <v>768</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row>
    <row r="8" spans="1:48" ht="8" customHeight="1"/>
    <row r="9" spans="1:48" ht="63" customHeight="1">
      <c r="A9" s="6" t="s">
        <v>769</v>
      </c>
      <c r="B9" s="6"/>
      <c r="C9" s="6"/>
      <c r="D9" s="6"/>
      <c r="E9" s="6"/>
      <c r="F9" s="6"/>
      <c r="G9" s="6"/>
      <c r="H9" s="6"/>
      <c r="I9" s="6"/>
      <c r="J9" s="6"/>
      <c r="K9" s="5" t="s">
        <v>770</v>
      </c>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ht="21" customHeight="1">
      <c r="A10" s="9" t="s">
        <v>771</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row>
    <row r="11" spans="1:48" ht="8" customHeight="1"/>
    <row r="12" spans="1:48" ht="63" customHeight="1">
      <c r="A12" s="6" t="s">
        <v>772</v>
      </c>
      <c r="B12" s="6"/>
      <c r="C12" s="6"/>
      <c r="D12" s="6"/>
      <c r="E12" s="6"/>
      <c r="F12" s="6"/>
      <c r="G12" s="6"/>
      <c r="H12" s="6"/>
      <c r="I12" s="6"/>
      <c r="J12" s="6"/>
      <c r="K12" s="5" t="s">
        <v>773</v>
      </c>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21" customHeight="1">
      <c r="A13" s="9" t="s">
        <v>774</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row>
    <row r="14" spans="1:48" ht="8" customHeight="1"/>
    <row r="15" spans="1:48" ht="46" customHeight="1">
      <c r="A15" s="6" t="s">
        <v>775</v>
      </c>
      <c r="B15" s="6"/>
      <c r="C15" s="6"/>
      <c r="D15" s="6"/>
      <c r="E15" s="6"/>
      <c r="F15" s="6"/>
      <c r="G15" s="6"/>
      <c r="H15" s="6"/>
      <c r="I15" s="6"/>
      <c r="J15" s="6"/>
      <c r="K15" s="5" t="s">
        <v>776</v>
      </c>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ht="21" customHeight="1">
      <c r="A16" s="9" t="s">
        <v>777</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row>
    <row r="17" spans="1:48" ht="8" customHeight="1"/>
    <row r="18" spans="1:48" ht="46" customHeight="1">
      <c r="A18" s="6" t="s">
        <v>778</v>
      </c>
      <c r="B18" s="6"/>
      <c r="C18" s="6"/>
      <c r="D18" s="6"/>
      <c r="E18" s="6"/>
      <c r="F18" s="6"/>
      <c r="G18" s="6"/>
      <c r="H18" s="6"/>
      <c r="I18" s="6"/>
      <c r="J18" s="6"/>
      <c r="K18" s="5" t="s">
        <v>779</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ht="21" customHeight="1">
      <c r="A19" s="9" t="s">
        <v>780</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row>
    <row r="20" spans="1:48" ht="8" customHeight="1"/>
    <row r="21" spans="1:48" ht="63" customHeight="1">
      <c r="A21" s="6" t="s">
        <v>781</v>
      </c>
      <c r="B21" s="6"/>
      <c r="C21" s="6"/>
      <c r="D21" s="6"/>
      <c r="E21" s="6"/>
      <c r="F21" s="6"/>
      <c r="G21" s="6"/>
      <c r="H21" s="6"/>
      <c r="I21" s="6"/>
      <c r="J21" s="6"/>
      <c r="K21" s="5" t="s">
        <v>782</v>
      </c>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ht="21" customHeight="1">
      <c r="A22" s="9" t="s">
        <v>783</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row>
    <row r="23" spans="1:48" ht="8" customHeight="1"/>
    <row r="24" spans="1:48" ht="63" customHeight="1">
      <c r="A24" s="6" t="s">
        <v>784</v>
      </c>
      <c r="B24" s="6"/>
      <c r="C24" s="6"/>
      <c r="D24" s="6"/>
      <c r="E24" s="6"/>
      <c r="F24" s="6"/>
      <c r="G24" s="6"/>
      <c r="H24" s="6"/>
      <c r="I24" s="6"/>
      <c r="J24" s="6"/>
      <c r="K24" s="5" t="s">
        <v>785</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21" customHeight="1">
      <c r="A25" s="9" t="s">
        <v>786</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row>
    <row r="26" spans="1:48" ht="8" customHeight="1"/>
  </sheetData>
  <mergeCells count="26">
    <mergeCell ref="A1:AV1"/>
    <mergeCell ref="A2:AV2"/>
    <mergeCell ref="A3:AV3"/>
    <mergeCell ref="A4:X4"/>
    <mergeCell ref="Y4:AV4"/>
    <mergeCell ref="A6:J6"/>
    <mergeCell ref="K6:AV6"/>
    <mergeCell ref="A7:AV7"/>
    <mergeCell ref="A9:J9"/>
    <mergeCell ref="K9:AV9"/>
    <mergeCell ref="A10:AV10"/>
    <mergeCell ref="A12:J12"/>
    <mergeCell ref="K12:AV12"/>
    <mergeCell ref="A13:AV13"/>
    <mergeCell ref="A15:J15"/>
    <mergeCell ref="K15:AV15"/>
    <mergeCell ref="A16:AV16"/>
    <mergeCell ref="A18:J18"/>
    <mergeCell ref="K18:AV18"/>
    <mergeCell ref="A19:AV19"/>
    <mergeCell ref="A21:J21"/>
    <mergeCell ref="K21:AV21"/>
    <mergeCell ref="A22:AV22"/>
    <mergeCell ref="A24:J24"/>
    <mergeCell ref="K24:AV24"/>
    <mergeCell ref="A25:AV25"/>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4.xml><?xml version="1.0" encoding="utf-8"?>
<worksheet xmlns="http://schemas.openxmlformats.org/spreadsheetml/2006/main" xmlns:r="http://schemas.openxmlformats.org/officeDocument/2006/relationships">
  <sheetPr>
    <tabColor rgb="FF777777"/>
    <pageSetUpPr fitToPage="1"/>
  </sheetPr>
  <dimension ref="A1:AV30"/>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787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788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789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19" customHeight="1">
      <c r="A7" s="10" t="s">
        <v>790</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row>
    <row r="8" spans="1:48" ht="9" customHeight="1"/>
    <row r="9" spans="1:48" ht="29" customHeight="1">
      <c r="A9" s="4" t="s">
        <v>791</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1:48" ht="19" customHeight="1">
      <c r="A10" s="10" t="s">
        <v>792</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row>
    <row r="11" spans="1:48" ht="9" customHeight="1"/>
    <row r="12" spans="1:48" ht="63" customHeight="1">
      <c r="A12" s="6" t="s">
        <v>793</v>
      </c>
      <c r="B12" s="6"/>
      <c r="C12" s="6"/>
      <c r="D12" s="6"/>
      <c r="E12" s="6"/>
      <c r="F12" s="6"/>
      <c r="G12" s="6"/>
      <c r="H12" s="6"/>
      <c r="I12" s="6"/>
      <c r="J12" s="6"/>
      <c r="K12" s="5" t="s">
        <v>794</v>
      </c>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8" customHeight="1"/>
    <row r="14" spans="1:48" ht="29" customHeight="1">
      <c r="A14" s="4" t="s">
        <v>795</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1:48" ht="19" customHeight="1">
      <c r="A15" s="10" t="s">
        <v>796</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row>
    <row r="16" spans="1:48" ht="21" customHeight="1">
      <c r="A16" s="9" t="s">
        <v>797</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row>
    <row r="17" spans="1:48" ht="9" customHeight="1"/>
    <row r="18" spans="1:48" ht="46" customHeight="1">
      <c r="A18" s="6" t="s">
        <v>798</v>
      </c>
      <c r="B18" s="6"/>
      <c r="C18" s="6"/>
      <c r="D18" s="6"/>
      <c r="E18" s="6"/>
      <c r="F18" s="6"/>
      <c r="G18" s="6"/>
      <c r="H18" s="6"/>
      <c r="I18" s="6"/>
      <c r="J18" s="6"/>
      <c r="K18" s="5" t="s">
        <v>799</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ht="21" customHeight="1">
      <c r="A19" s="9" t="s">
        <v>800</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row>
    <row r="20" spans="1:48" ht="8" customHeight="1"/>
    <row r="21" spans="1:48" ht="29" customHeight="1">
      <c r="A21" s="4" t="s">
        <v>801</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ht="19" customHeight="1">
      <c r="A22" s="10" t="s">
        <v>802</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9" customHeight="1"/>
    <row r="24" spans="1:48" ht="63" customHeight="1">
      <c r="A24" s="6" t="s">
        <v>803</v>
      </c>
      <c r="B24" s="6"/>
      <c r="C24" s="6"/>
      <c r="D24" s="6"/>
      <c r="E24" s="6"/>
      <c r="F24" s="6"/>
      <c r="G24" s="6"/>
      <c r="H24" s="6"/>
      <c r="I24" s="6"/>
      <c r="J24" s="6"/>
      <c r="K24" s="5" t="s">
        <v>804</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8" customHeight="1"/>
    <row r="26" spans="1:48" ht="29" customHeight="1">
      <c r="A26" s="4" t="s">
        <v>805</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ht="19" customHeight="1">
      <c r="A27" s="10" t="s">
        <v>806</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9" customHeight="1"/>
    <row r="29" spans="1:48" ht="63" customHeight="1">
      <c r="A29" s="6" t="s">
        <v>807</v>
      </c>
      <c r="B29" s="6"/>
      <c r="C29" s="6"/>
      <c r="D29" s="6"/>
      <c r="E29" s="6"/>
      <c r="F29" s="6"/>
      <c r="G29" s="6"/>
      <c r="H29" s="6"/>
      <c r="I29" s="6"/>
      <c r="J29" s="6"/>
      <c r="K29" s="5" t="s">
        <v>808</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8" customHeight="1"/>
  </sheetData>
  <mergeCells count="25">
    <mergeCell ref="A1:AV1"/>
    <mergeCell ref="A2:AV2"/>
    <mergeCell ref="A3:AV3"/>
    <mergeCell ref="A4:X4"/>
    <mergeCell ref="Y4:AV4"/>
    <mergeCell ref="A6:AV6"/>
    <mergeCell ref="A7:AV7"/>
    <mergeCell ref="A9:AV9"/>
    <mergeCell ref="A10:AV10"/>
    <mergeCell ref="A12:J12"/>
    <mergeCell ref="K12:AV12"/>
    <mergeCell ref="A14:AV14"/>
    <mergeCell ref="A15:AV15"/>
    <mergeCell ref="A16:AV16"/>
    <mergeCell ref="A18:J18"/>
    <mergeCell ref="K18:AV18"/>
    <mergeCell ref="A19:AV19"/>
    <mergeCell ref="A21:AV21"/>
    <mergeCell ref="A22:AV22"/>
    <mergeCell ref="A24:J24"/>
    <mergeCell ref="K24:AV24"/>
    <mergeCell ref="A26:AV26"/>
    <mergeCell ref="A27:AV27"/>
    <mergeCell ref="A29:J29"/>
    <mergeCell ref="K29:AV29"/>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5.xml><?xml version="1.0" encoding="utf-8"?>
<worksheet xmlns="http://schemas.openxmlformats.org/spreadsheetml/2006/main" xmlns:r="http://schemas.openxmlformats.org/officeDocument/2006/relationships">
  <sheetPr>
    <tabColor rgb="FF777777"/>
    <pageSetUpPr fitToPage="1"/>
  </sheetPr>
  <dimension ref="A1:AV190"/>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809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810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63" customHeight="1">
      <c r="A6" s="6" t="s">
        <v>811</v>
      </c>
      <c r="B6" s="6"/>
      <c r="C6" s="6"/>
      <c r="D6" s="6"/>
      <c r="E6" s="6"/>
      <c r="F6" s="6"/>
      <c r="G6" s="6"/>
      <c r="H6" s="6"/>
      <c r="I6" s="6"/>
      <c r="J6" s="6"/>
      <c r="K6" s="5" t="s">
        <v>812</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48" ht="8" customHeight="1"/>
    <row r="8" spans="1:48" ht="63" customHeight="1">
      <c r="A8" s="6" t="s">
        <v>813</v>
      </c>
      <c r="B8" s="6"/>
      <c r="C8" s="6"/>
      <c r="D8" s="6"/>
      <c r="E8" s="6"/>
      <c r="F8" s="6"/>
      <c r="G8" s="6"/>
      <c r="H8" s="6"/>
      <c r="I8" s="6"/>
      <c r="J8" s="6"/>
      <c r="K8" s="5" t="s">
        <v>814</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ht="8" customHeight="1"/>
    <row r="10" spans="1:48" ht="29" customHeight="1">
      <c r="A10" s="4" t="s">
        <v>815</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1:48" ht="19" customHeight="1">
      <c r="A11" s="10" t="s">
        <v>816</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row>
    <row r="12" spans="1:48" ht="19" customHeight="1">
      <c r="A12" s="10" t="s">
        <v>817</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row>
    <row r="13" spans="1:48" ht="19" customHeight="1">
      <c r="A13" s="10" t="s">
        <v>818</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row>
    <row r="14" spans="1:48" ht="19" customHeight="1">
      <c r="A14" s="10" t="s">
        <v>819</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row>
    <row r="15" spans="1:48" ht="19" customHeight="1">
      <c r="A15" s="10" t="s">
        <v>820</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row>
    <row r="16" spans="1:48" ht="19" customHeight="1">
      <c r="A16" s="10" t="s">
        <v>821</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row>
    <row r="17" spans="1:48" ht="19" customHeight="1">
      <c r="A17" s="10" t="s">
        <v>822</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row>
    <row r="18" spans="1:48" ht="19" customHeight="1">
      <c r="A18" s="10" t="s">
        <v>823</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row>
    <row r="19" spans="1:48" ht="19" customHeight="1">
      <c r="A19" s="10" t="s">
        <v>824</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row>
    <row r="20" spans="1:48" ht="19" customHeight="1">
      <c r="A20" s="10" t="s">
        <v>825</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row>
    <row r="21" spans="1:48" ht="19" customHeight="1">
      <c r="A21" s="10" t="s">
        <v>826</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19" customHeight="1">
      <c r="A22" s="10" t="s">
        <v>827</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19" customHeight="1">
      <c r="A23" s="10" t="s">
        <v>828</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row>
    <row r="24" spans="1:48" ht="19" customHeight="1">
      <c r="A24" s="10" t="s">
        <v>829</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row>
    <row r="25" spans="1:48" ht="19" customHeight="1">
      <c r="A25" s="10" t="s">
        <v>830</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row>
    <row r="26" spans="1:48" ht="19" customHeight="1">
      <c r="A26" s="10" t="s">
        <v>831</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row>
    <row r="27" spans="1:48" ht="19" customHeight="1">
      <c r="A27" s="10" t="s">
        <v>832</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19" customHeight="1">
      <c r="A28" s="10" t="s">
        <v>833</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row>
    <row r="29" spans="1:48" ht="19" customHeight="1">
      <c r="A29" s="10" t="s">
        <v>834</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row>
    <row r="30" spans="1:48" ht="19" customHeight="1">
      <c r="A30" s="10" t="s">
        <v>835</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row>
    <row r="31" spans="1:48" ht="19" customHeight="1">
      <c r="A31" s="10" t="s">
        <v>836</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row>
    <row r="32" spans="1:48" ht="19" customHeight="1">
      <c r="A32" s="10" t="s">
        <v>837</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row>
    <row r="33" spans="1:48" ht="19" customHeight="1">
      <c r="A33" s="10" t="s">
        <v>838</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row>
    <row r="34" spans="1:48" ht="19" customHeight="1">
      <c r="A34" s="10" t="s">
        <v>839</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row>
    <row r="35" spans="1:48" ht="19" customHeight="1">
      <c r="A35" s="10" t="s">
        <v>840</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row>
    <row r="36" spans="1:48" ht="19" customHeight="1">
      <c r="A36" s="10" t="s">
        <v>841</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row>
    <row r="37" spans="1:48" ht="19" customHeight="1">
      <c r="A37" s="10" t="s">
        <v>842</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row>
    <row r="38" spans="1:48" ht="19" customHeight="1">
      <c r="A38" s="10" t="s">
        <v>843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row>
    <row r="39" spans="1:48" ht="19" customHeight="1">
      <c r="A39" s="10" t="s">
        <v>844</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row>
    <row r="40" spans="1:48" ht="19" customHeight="1">
      <c r="A40" s="10" t="s">
        <v>845</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row>
    <row r="41" spans="1:48" ht="19" customHeight="1">
      <c r="A41" s="10" t="s">
        <v>846</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row>
    <row r="42" spans="1:48" ht="19" customHeight="1">
      <c r="A42" s="10" t="s">
        <v>847</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row>
    <row r="43" spans="1:48" ht="19" customHeight="1">
      <c r="A43" s="10" t="s">
        <v>848</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row>
    <row r="44" spans="1:48" ht="19" customHeight="1">
      <c r="A44" s="10" t="s">
        <v>849</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row>
    <row r="45" spans="1:48" ht="19" customHeight="1">
      <c r="A45" s="10" t="s">
        <v>850</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row>
    <row r="46" spans="1:48" ht="19" customHeight="1">
      <c r="A46" s="10" t="s">
        <v>831</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row>
    <row r="47" spans="1:48" ht="19" customHeight="1">
      <c r="A47" s="10" t="s">
        <v>851</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row>
    <row r="48" spans="1:48" ht="19" customHeight="1">
      <c r="A48" s="10" t="s">
        <v>852</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row>
    <row r="49" spans="1:48" ht="19" customHeight="1">
      <c r="A49" s="10" t="s">
        <v>834</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row>
    <row r="50" spans="1:48" ht="19" customHeight="1">
      <c r="A50" s="10" t="s">
        <v>835</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row>
    <row r="51" spans="1:48" ht="19" customHeight="1">
      <c r="A51" s="10" t="s">
        <v>836</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row>
    <row r="52" spans="1:48" ht="19" customHeight="1">
      <c r="A52" s="10" t="s">
        <v>837</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row>
    <row r="53" spans="1:48" ht="19" customHeight="1">
      <c r="A53" s="10" t="s">
        <v>853</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row>
    <row r="54" spans="1:48" ht="19" customHeight="1">
      <c r="A54" s="10" t="s">
        <v>854</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row>
    <row r="55" spans="1:48" ht="19" customHeight="1">
      <c r="A55" s="10" t="s">
        <v>840</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row>
    <row r="56" spans="1:48" ht="19" customHeight="1">
      <c r="A56" s="10" t="s">
        <v>855</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row>
    <row r="57" spans="1:48" ht="19" customHeight="1">
      <c r="A57" s="10" t="s">
        <v>856</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row>
    <row r="58" spans="1:48" ht="19" customHeight="1">
      <c r="A58" s="10" t="s">
        <v>843</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row>
    <row r="59" spans="1:48" ht="19" customHeight="1">
      <c r="A59" s="10" t="s">
        <v>857</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row>
    <row r="60" spans="1:48" ht="19" customHeight="1">
      <c r="A60" s="10" t="s">
        <v>845</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row>
    <row r="61" spans="1:48" ht="19" customHeight="1">
      <c r="A61" s="10" t="s">
        <v>858</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row>
    <row r="62" spans="1:48" ht="19" customHeight="1">
      <c r="A62" s="10" t="s">
        <v>859</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row>
    <row r="63" spans="1:48" ht="19" customHeight="1">
      <c r="A63" s="10" t="s">
        <v>860</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row>
    <row r="64" spans="1:48" ht="19" customHeight="1">
      <c r="A64" s="10" t="s">
        <v>861</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row>
    <row r="65" spans="1:48" ht="19" customHeight="1">
      <c r="A65" s="10" t="s">
        <v>862</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row>
    <row r="66" spans="1:48" ht="19" customHeight="1">
      <c r="A66" s="10" t="s">
        <v>849</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row>
    <row r="67" spans="1:48" ht="19" customHeight="1">
      <c r="A67" s="10" t="s">
        <v>850</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row>
    <row r="68" spans="1:48" ht="19" customHeight="1">
      <c r="A68" s="10" t="s">
        <v>831</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row>
    <row r="69" spans="1:48" ht="19" customHeight="1">
      <c r="A69" s="10" t="s">
        <v>863</v>
      </c>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row>
    <row r="70" spans="1:48" ht="19" customHeight="1">
      <c r="A70" s="10" t="s">
        <v>864</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row>
    <row r="71" spans="1:48" ht="19" customHeight="1">
      <c r="A71" s="10" t="s">
        <v>834</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row>
    <row r="72" spans="1:48" ht="19" customHeight="1">
      <c r="A72" s="10" t="s">
        <v>835</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row>
    <row r="73" spans="1:48" ht="19" customHeight="1">
      <c r="A73" s="10" t="s">
        <v>836</v>
      </c>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row>
    <row r="74" spans="1:48" ht="19" customHeight="1">
      <c r="A74" s="10" t="s">
        <v>837</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row>
    <row r="75" spans="1:48" ht="19" customHeight="1">
      <c r="A75" s="10" t="s">
        <v>853</v>
      </c>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row>
    <row r="76" spans="1:48" ht="32" customHeight="1">
      <c r="A76" s="10" t="s">
        <v>865</v>
      </c>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row>
    <row r="77" spans="1:48" ht="19" customHeight="1">
      <c r="A77" s="10" t="s">
        <v>840</v>
      </c>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row>
    <row r="78" spans="1:48" ht="19" customHeight="1">
      <c r="A78" s="10" t="s">
        <v>855</v>
      </c>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row>
    <row r="79" spans="1:48" ht="19" customHeight="1">
      <c r="A79" s="10" t="s">
        <v>856</v>
      </c>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row>
    <row r="80" spans="1:48" ht="19" customHeight="1">
      <c r="A80" s="10" t="s">
        <v>843</v>
      </c>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row>
    <row r="81" spans="1:48" ht="19" customHeight="1">
      <c r="A81" s="10" t="s">
        <v>857</v>
      </c>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row>
    <row r="82" spans="1:48" ht="19" customHeight="1">
      <c r="A82" s="10" t="s">
        <v>845</v>
      </c>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row>
    <row r="83" spans="1:48" ht="19" customHeight="1">
      <c r="A83" s="10" t="s">
        <v>858</v>
      </c>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row>
    <row r="84" spans="1:48" ht="19" customHeight="1">
      <c r="A84" s="10" t="s">
        <v>859</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row>
    <row r="85" spans="1:48" ht="19" customHeight="1">
      <c r="A85" s="10" t="s">
        <v>860</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row>
    <row r="86" spans="1:48" ht="19" customHeight="1">
      <c r="A86" s="10" t="s">
        <v>861</v>
      </c>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row>
    <row r="87" spans="1:48" ht="19" customHeight="1">
      <c r="A87" s="10" t="s">
        <v>862</v>
      </c>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row>
    <row r="88" spans="1:48" ht="19" customHeight="1">
      <c r="A88" s="10" t="s">
        <v>866</v>
      </c>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row>
    <row r="89" spans="1:48" ht="19" customHeight="1">
      <c r="A89" s="10" t="s">
        <v>867</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row>
    <row r="90" spans="1:48" ht="19" customHeight="1">
      <c r="A90" s="10" t="s">
        <v>859</v>
      </c>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row>
    <row r="91" spans="1:48" ht="19" customHeight="1">
      <c r="A91" s="10" t="s">
        <v>868</v>
      </c>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row>
    <row r="92" spans="1:48" ht="19" customHeight="1">
      <c r="A92" s="10" t="s">
        <v>869</v>
      </c>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row>
    <row r="93" spans="1:48" ht="19" customHeight="1">
      <c r="A93" s="10" t="s">
        <v>870</v>
      </c>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row>
    <row r="94" spans="1:48" ht="19" customHeight="1">
      <c r="A94" s="10" t="s">
        <v>862</v>
      </c>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row>
    <row r="95" spans="1:48" ht="19" customHeight="1">
      <c r="A95" s="10" t="s">
        <v>849</v>
      </c>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row>
    <row r="96" spans="1:48" ht="19" customHeight="1">
      <c r="A96" s="10" t="s">
        <v>850</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row>
    <row r="97" spans="1:48" ht="19" customHeight="1">
      <c r="A97" s="10" t="s">
        <v>831</v>
      </c>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row>
    <row r="98" spans="1:48" ht="19" customHeight="1">
      <c r="A98" s="10" t="s">
        <v>871</v>
      </c>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row>
    <row r="99" spans="1:48" ht="19" customHeight="1">
      <c r="A99" s="10" t="s">
        <v>872</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row>
    <row r="100" spans="1:48" ht="19" customHeight="1">
      <c r="A100" s="10" t="s">
        <v>873</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row>
    <row r="101" spans="1:48" ht="19" customHeight="1">
      <c r="A101" s="10" t="s">
        <v>874</v>
      </c>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row>
    <row r="102" spans="1:48" ht="19" customHeight="1">
      <c r="A102" s="10" t="s">
        <v>836</v>
      </c>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row>
    <row r="103" spans="1:48" ht="19" customHeight="1">
      <c r="A103" s="10" t="s">
        <v>837</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row>
    <row r="104" spans="1:48" ht="19" customHeight="1">
      <c r="A104" s="10" t="s">
        <v>838</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row>
    <row r="105" spans="1:48" ht="19" customHeight="1">
      <c r="A105" s="10" t="s">
        <v>875</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row>
    <row r="106" spans="1:48" ht="19" customHeight="1">
      <c r="A106" s="10" t="s">
        <v>876</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row>
    <row r="107" spans="1:48" ht="19" customHeight="1">
      <c r="A107" s="10" t="s">
        <v>840</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row>
    <row r="108" spans="1:48" ht="19" customHeight="1">
      <c r="A108" s="10" t="s">
        <v>877</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row>
    <row r="109" spans="1:48" ht="19" customHeight="1">
      <c r="A109" s="10" t="s">
        <v>856</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row>
    <row r="110" spans="1:48" ht="19" customHeight="1">
      <c r="A110" s="10" t="s">
        <v>843</v>
      </c>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row>
    <row r="111" spans="1:48" ht="19" customHeight="1">
      <c r="A111" s="10" t="s">
        <v>844</v>
      </c>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row>
    <row r="112" spans="1:48" ht="19" customHeight="1">
      <c r="A112" s="10" t="s">
        <v>878</v>
      </c>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row>
    <row r="113" spans="1:48" ht="19" customHeight="1">
      <c r="A113" s="10" t="s">
        <v>879</v>
      </c>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row>
    <row r="114" spans="1:48" ht="19" customHeight="1">
      <c r="A114" s="10" t="s">
        <v>880</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row>
    <row r="115" spans="1:48" ht="19" customHeight="1">
      <c r="A115" s="10" t="s">
        <v>881</v>
      </c>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row>
    <row r="116" spans="1:48" ht="9" customHeight="1"/>
    <row r="117" spans="1:48" ht="63" customHeight="1">
      <c r="A117" s="6" t="s">
        <v>882</v>
      </c>
      <c r="B117" s="6"/>
      <c r="C117" s="6"/>
      <c r="D117" s="6"/>
      <c r="E117" s="6"/>
      <c r="F117" s="6"/>
      <c r="G117" s="6"/>
      <c r="H117" s="6"/>
      <c r="I117" s="6"/>
      <c r="J117" s="6"/>
      <c r="K117" s="5" t="s">
        <v>883</v>
      </c>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ht="8" customHeight="1"/>
    <row r="119" spans="1:48" ht="29" customHeight="1">
      <c r="A119" s="4" t="s">
        <v>884</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ht="19" customHeight="1">
      <c r="A120" s="10" t="s">
        <v>816</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row>
    <row r="121" spans="1:48" ht="19" customHeight="1">
      <c r="A121" s="10" t="s">
        <v>885</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row>
    <row r="122" spans="1:48" ht="19" customHeight="1">
      <c r="A122" s="10" t="s">
        <v>886</v>
      </c>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row>
    <row r="123" spans="1:48" ht="19" customHeight="1">
      <c r="A123" s="10" t="s">
        <v>887</v>
      </c>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row>
    <row r="124" spans="1:48" ht="19" customHeight="1">
      <c r="A124" s="10" t="s">
        <v>888</v>
      </c>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row>
    <row r="125" spans="1:48" ht="19" customHeight="1">
      <c r="A125" s="10" t="s">
        <v>889</v>
      </c>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row>
    <row r="126" spans="1:48" ht="19" customHeight="1">
      <c r="A126" s="10" t="s">
        <v>890</v>
      </c>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row>
    <row r="127" spans="1:48" ht="19" customHeight="1">
      <c r="A127" s="10" t="s">
        <v>891</v>
      </c>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row>
    <row r="128" spans="1:48" ht="19" customHeight="1">
      <c r="A128" s="10" t="s">
        <v>892</v>
      </c>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row>
    <row r="129" spans="1:48" ht="19" customHeight="1">
      <c r="A129" s="10" t="s">
        <v>879</v>
      </c>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row>
    <row r="130" spans="1:48" ht="19" customHeight="1">
      <c r="A130" s="10" t="s">
        <v>827</v>
      </c>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row>
    <row r="131" spans="1:48" ht="19" customHeight="1">
      <c r="A131" s="10" t="s">
        <v>893</v>
      </c>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row>
    <row r="132" spans="1:48" ht="19" customHeight="1">
      <c r="A132" s="10" t="s">
        <v>831</v>
      </c>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row>
    <row r="133" spans="1:48" ht="19" customHeight="1">
      <c r="A133" s="10" t="s">
        <v>894</v>
      </c>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row>
    <row r="134" spans="1:48" ht="19" customHeight="1">
      <c r="A134" s="10" t="s">
        <v>895</v>
      </c>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row>
    <row r="135" spans="1:48" ht="19" customHeight="1">
      <c r="A135" s="10" t="s">
        <v>896</v>
      </c>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row>
    <row r="136" spans="1:48" ht="19" customHeight="1">
      <c r="A136" s="10" t="s">
        <v>879</v>
      </c>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row>
    <row r="137" spans="1:48" ht="19" customHeight="1">
      <c r="A137" s="10" t="s">
        <v>880</v>
      </c>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row>
    <row r="138" spans="1:48" ht="19" customHeight="1">
      <c r="A138" s="10" t="s">
        <v>881</v>
      </c>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row>
    <row r="139" spans="1:48" ht="21" customHeight="1">
      <c r="A139" s="9" t="s">
        <v>897</v>
      </c>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row>
    <row r="140" spans="1:48" ht="9" customHeight="1"/>
    <row r="141" spans="1:48" ht="29" customHeight="1">
      <c r="A141" s="4" t="s">
        <v>898</v>
      </c>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row>
    <row r="142" spans="1:48" ht="19" customHeight="1">
      <c r="A142" s="10" t="s">
        <v>816</v>
      </c>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row>
    <row r="143" spans="1:48" ht="19" customHeight="1">
      <c r="A143" s="10" t="s">
        <v>899</v>
      </c>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row>
    <row r="144" spans="1:48" ht="19" customHeight="1">
      <c r="A144" s="10" t="s">
        <v>900</v>
      </c>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row>
    <row r="145" spans="1:48" ht="19" customHeight="1">
      <c r="A145" s="10" t="s">
        <v>901</v>
      </c>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row>
    <row r="146" spans="1:48" ht="19" customHeight="1">
      <c r="A146" s="10" t="s">
        <v>902</v>
      </c>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row>
    <row r="147" spans="1:48" ht="19" customHeight="1">
      <c r="A147" s="10" t="s">
        <v>903</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row>
    <row r="148" spans="1:48" ht="19" customHeight="1">
      <c r="A148" s="10" t="s">
        <v>904</v>
      </c>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row>
    <row r="149" spans="1:48" ht="19" customHeight="1">
      <c r="A149" s="10" t="s">
        <v>905</v>
      </c>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row>
    <row r="150" spans="1:48" ht="19" customHeight="1">
      <c r="A150" s="10" t="s">
        <v>906</v>
      </c>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row>
    <row r="151" spans="1:48" ht="19" customHeight="1">
      <c r="A151" s="10" t="s">
        <v>907</v>
      </c>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row>
    <row r="152" spans="1:48" ht="19" customHeight="1">
      <c r="A152" s="10" t="s">
        <v>908</v>
      </c>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row>
    <row r="153" spans="1:48" ht="19" customHeight="1">
      <c r="A153" s="10" t="s">
        <v>909</v>
      </c>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row>
    <row r="154" spans="1:48" ht="19" customHeight="1">
      <c r="A154" s="10" t="s">
        <v>910</v>
      </c>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row>
    <row r="155" spans="1:48" ht="19" customHeight="1">
      <c r="A155" s="10" t="s">
        <v>911</v>
      </c>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row>
    <row r="156" spans="1:48" ht="19" customHeight="1">
      <c r="A156" s="10" t="s">
        <v>881</v>
      </c>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row>
    <row r="157" spans="1:48" ht="21" customHeight="1">
      <c r="A157" s="9" t="s">
        <v>912</v>
      </c>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row>
    <row r="158" spans="1:48" ht="9" customHeight="1"/>
    <row r="159" spans="1:48" ht="29" customHeight="1">
      <c r="A159" s="4" t="s">
        <v>913</v>
      </c>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row>
    <row r="160" spans="1:48" ht="30" customHeight="1">
      <c r="A160" s="7" t="s">
        <v>480</v>
      </c>
      <c r="B160" s="7"/>
      <c r="C160" s="7"/>
      <c r="D160" s="7" t="s">
        <v>914</v>
      </c>
      <c r="E160" s="7"/>
      <c r="F160" s="7"/>
      <c r="G160" s="7"/>
      <c r="H160" s="7"/>
      <c r="I160" s="7"/>
      <c r="J160" s="7"/>
      <c r="K160" s="7"/>
      <c r="L160" s="7"/>
      <c r="M160" s="7"/>
      <c r="N160" s="7"/>
      <c r="O160" s="7"/>
      <c r="P160" s="7"/>
      <c r="Q160" s="7"/>
      <c r="R160" s="7"/>
      <c r="S160" s="7"/>
      <c r="T160" s="7"/>
      <c r="U160" s="7" t="s">
        <v>915</v>
      </c>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t="s">
        <v>916</v>
      </c>
      <c r="AT160" s="7"/>
      <c r="AU160" s="7"/>
      <c r="AV160" s="7"/>
    </row>
    <row r="161" spans="1:48" ht="29" customHeight="1">
      <c r="A161" s="5" t="s">
        <v>486</v>
      </c>
      <c r="B161" s="5"/>
      <c r="C161" s="5"/>
      <c r="D161" s="5" t="s">
        <v>917</v>
      </c>
      <c r="E161" s="5"/>
      <c r="F161" s="5"/>
      <c r="G161" s="5"/>
      <c r="H161" s="5"/>
      <c r="I161" s="5"/>
      <c r="J161" s="5"/>
      <c r="K161" s="5"/>
      <c r="L161" s="5"/>
      <c r="M161" s="5"/>
      <c r="N161" s="5"/>
      <c r="O161" s="5"/>
      <c r="P161" s="5"/>
      <c r="Q161" s="5"/>
      <c r="R161" s="5"/>
      <c r="S161" s="5"/>
      <c r="T161" s="5"/>
      <c r="U161" s="5" t="s">
        <v>918</v>
      </c>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11">
        <v>300</v>
      </c>
      <c r="AT161" s="11"/>
      <c r="AU161" s="11"/>
      <c r="AV161" s="11"/>
    </row>
    <row r="162" spans="1:48" ht="46" customHeight="1">
      <c r="A162" s="8" t="s">
        <v>494</v>
      </c>
      <c r="B162" s="8"/>
      <c r="C162" s="8"/>
      <c r="D162" s="8" t="s">
        <v>919</v>
      </c>
      <c r="E162" s="8"/>
      <c r="F162" s="8"/>
      <c r="G162" s="8"/>
      <c r="H162" s="8"/>
      <c r="I162" s="8"/>
      <c r="J162" s="8"/>
      <c r="K162" s="8"/>
      <c r="L162" s="8"/>
      <c r="M162" s="8"/>
      <c r="N162" s="8"/>
      <c r="O162" s="8"/>
      <c r="P162" s="8"/>
      <c r="Q162" s="8"/>
      <c r="R162" s="8"/>
      <c r="S162" s="8"/>
      <c r="T162" s="8"/>
      <c r="U162" s="8" t="s">
        <v>920</v>
      </c>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12">
        <v>150</v>
      </c>
      <c r="AT162" s="12"/>
      <c r="AU162" s="12"/>
      <c r="AV162" s="12"/>
    </row>
    <row r="163" spans="1:48" ht="46" customHeight="1">
      <c r="A163" s="5" t="s">
        <v>497</v>
      </c>
      <c r="B163" s="5"/>
      <c r="C163" s="5"/>
      <c r="D163" s="5" t="s">
        <v>919</v>
      </c>
      <c r="E163" s="5"/>
      <c r="F163" s="5"/>
      <c r="G163" s="5"/>
      <c r="H163" s="5"/>
      <c r="I163" s="5"/>
      <c r="J163" s="5"/>
      <c r="K163" s="5"/>
      <c r="L163" s="5"/>
      <c r="M163" s="5"/>
      <c r="N163" s="5"/>
      <c r="O163" s="5"/>
      <c r="P163" s="5"/>
      <c r="Q163" s="5"/>
      <c r="R163" s="5"/>
      <c r="S163" s="5"/>
      <c r="T163" s="5"/>
      <c r="U163" s="5" t="s">
        <v>921</v>
      </c>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11">
        <v>300</v>
      </c>
      <c r="AT163" s="11"/>
      <c r="AU163" s="11"/>
      <c r="AV163" s="11"/>
    </row>
    <row r="164" spans="1:48" ht="29" customHeight="1">
      <c r="A164" s="8" t="s">
        <v>498</v>
      </c>
      <c r="B164" s="8"/>
      <c r="C164" s="8"/>
      <c r="D164" s="8" t="s">
        <v>922</v>
      </c>
      <c r="E164" s="8"/>
      <c r="F164" s="8"/>
      <c r="G164" s="8"/>
      <c r="H164" s="8"/>
      <c r="I164" s="8"/>
      <c r="J164" s="8"/>
      <c r="K164" s="8"/>
      <c r="L164" s="8"/>
      <c r="M164" s="8"/>
      <c r="N164" s="8"/>
      <c r="O164" s="8"/>
      <c r="P164" s="8"/>
      <c r="Q164" s="8"/>
      <c r="R164" s="8"/>
      <c r="S164" s="8"/>
      <c r="T164" s="8"/>
      <c r="U164" s="8" t="s">
        <v>923</v>
      </c>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12">
        <v>600</v>
      </c>
      <c r="AT164" s="12"/>
      <c r="AU164" s="12"/>
      <c r="AV164" s="12"/>
    </row>
    <row r="165" spans="1:48" ht="29" customHeight="1">
      <c r="A165" s="5" t="s">
        <v>499</v>
      </c>
      <c r="B165" s="5"/>
      <c r="C165" s="5"/>
      <c r="D165" s="5" t="s">
        <v>924</v>
      </c>
      <c r="E165" s="5"/>
      <c r="F165" s="5"/>
      <c r="G165" s="5"/>
      <c r="H165" s="5"/>
      <c r="I165" s="5"/>
      <c r="J165" s="5"/>
      <c r="K165" s="5"/>
      <c r="L165" s="5"/>
      <c r="M165" s="5"/>
      <c r="N165" s="5"/>
      <c r="O165" s="5"/>
      <c r="P165" s="5"/>
      <c r="Q165" s="5"/>
      <c r="R165" s="5"/>
      <c r="S165" s="5"/>
      <c r="T165" s="5"/>
      <c r="U165" s="5" t="s">
        <v>925</v>
      </c>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11">
        <v>300</v>
      </c>
      <c r="AT165" s="11"/>
      <c r="AU165" s="11"/>
      <c r="AV165" s="11"/>
    </row>
    <row r="166" spans="1:48" ht="29" customHeight="1">
      <c r="A166" s="8" t="s">
        <v>500</v>
      </c>
      <c r="B166" s="8"/>
      <c r="C166" s="8"/>
      <c r="D166" s="8" t="s">
        <v>926</v>
      </c>
      <c r="E166" s="8"/>
      <c r="F166" s="8"/>
      <c r="G166" s="8"/>
      <c r="H166" s="8"/>
      <c r="I166" s="8"/>
      <c r="J166" s="8"/>
      <c r="K166" s="8"/>
      <c r="L166" s="8"/>
      <c r="M166" s="8"/>
      <c r="N166" s="8"/>
      <c r="O166" s="8"/>
      <c r="P166" s="8"/>
      <c r="Q166" s="8"/>
      <c r="R166" s="8"/>
      <c r="S166" s="8"/>
      <c r="T166" s="8"/>
      <c r="U166" s="8" t="s">
        <v>927</v>
      </c>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12">
        <v>300</v>
      </c>
      <c r="AT166" s="12"/>
      <c r="AU166" s="12"/>
      <c r="AV166" s="12"/>
    </row>
    <row r="167" spans="1:48" ht="29" customHeight="1">
      <c r="A167" s="5" t="s">
        <v>502</v>
      </c>
      <c r="B167" s="5"/>
      <c r="C167" s="5"/>
      <c r="D167" s="5" t="s">
        <v>928</v>
      </c>
      <c r="E167" s="5"/>
      <c r="F167" s="5"/>
      <c r="G167" s="5"/>
      <c r="H167" s="5"/>
      <c r="I167" s="5"/>
      <c r="J167" s="5"/>
      <c r="K167" s="5"/>
      <c r="L167" s="5"/>
      <c r="M167" s="5"/>
      <c r="N167" s="5"/>
      <c r="O167" s="5"/>
      <c r="P167" s="5"/>
      <c r="Q167" s="5"/>
      <c r="R167" s="5"/>
      <c r="S167" s="5"/>
      <c r="T167" s="5"/>
      <c r="U167" s="5" t="s">
        <v>929</v>
      </c>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11">
        <v>420</v>
      </c>
      <c r="AT167" s="11"/>
      <c r="AU167" s="11"/>
      <c r="AV167" s="11"/>
    </row>
    <row r="168" spans="1:48" ht="29" customHeight="1">
      <c r="A168" s="8" t="s">
        <v>503</v>
      </c>
      <c r="B168" s="8"/>
      <c r="C168" s="8"/>
      <c r="D168" s="8" t="s">
        <v>930</v>
      </c>
      <c r="E168" s="8"/>
      <c r="F168" s="8"/>
      <c r="G168" s="8"/>
      <c r="H168" s="8"/>
      <c r="I168" s="8"/>
      <c r="J168" s="8"/>
      <c r="K168" s="8"/>
      <c r="L168" s="8"/>
      <c r="M168" s="8"/>
      <c r="N168" s="8"/>
      <c r="O168" s="8"/>
      <c r="P168" s="8"/>
      <c r="Q168" s="8"/>
      <c r="R168" s="8"/>
      <c r="S168" s="8"/>
      <c r="T168" s="8"/>
      <c r="U168" s="8" t="s">
        <v>931</v>
      </c>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12">
        <v>450</v>
      </c>
      <c r="AT168" s="12"/>
      <c r="AU168" s="12"/>
      <c r="AV168" s="12"/>
    </row>
    <row r="169" spans="1:48" ht="10" customHeight="1"/>
    <row r="170" spans="1:48" ht="29" customHeight="1">
      <c r="A170" s="4" t="s">
        <v>932</v>
      </c>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row>
    <row r="171" spans="1:48" ht="19" customHeight="1">
      <c r="A171" s="10" t="s">
        <v>933</v>
      </c>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row>
    <row r="172" spans="1:48" ht="19" customHeight="1">
      <c r="A172" s="10" t="s">
        <v>934</v>
      </c>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row>
    <row r="173" spans="1:48" ht="19" customHeight="1">
      <c r="A173" s="10" t="s">
        <v>935</v>
      </c>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row>
    <row r="174" spans="1:48" ht="19" customHeight="1">
      <c r="A174" s="10" t="s">
        <v>936</v>
      </c>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row>
    <row r="175" spans="1:48" ht="19" customHeight="1">
      <c r="A175" s="10" t="s">
        <v>937</v>
      </c>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row>
    <row r="176" spans="1:48" ht="19" customHeight="1">
      <c r="A176" s="10" t="s">
        <v>938</v>
      </c>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row>
    <row r="177" spans="1:48" ht="19" customHeight="1">
      <c r="A177" s="10" t="s">
        <v>939</v>
      </c>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row>
    <row r="178" spans="1:48" ht="19" customHeight="1">
      <c r="A178" s="10" t="s">
        <v>940</v>
      </c>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row>
    <row r="179" spans="1:48" ht="19" customHeight="1">
      <c r="A179" s="10" t="s">
        <v>941</v>
      </c>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row>
    <row r="180" spans="1:48" ht="19" customHeight="1">
      <c r="A180" s="10" t="s">
        <v>942</v>
      </c>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row>
    <row r="181" spans="1:48" ht="19" customHeight="1">
      <c r="A181" s="10" t="s">
        <v>943</v>
      </c>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row>
    <row r="182" spans="1:48" ht="19" customHeight="1">
      <c r="A182" s="10" t="s">
        <v>944</v>
      </c>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row>
    <row r="183" spans="1:48" ht="19" customHeight="1">
      <c r="A183" s="10" t="s">
        <v>945</v>
      </c>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row>
    <row r="184" spans="1:48" ht="19" customHeight="1">
      <c r="A184" s="10" t="s">
        <v>946</v>
      </c>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row>
    <row r="185" spans="1:48" ht="19" customHeight="1">
      <c r="A185" s="10" t="s">
        <v>947</v>
      </c>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row>
    <row r="186" spans="1:48" ht="19" customHeight="1">
      <c r="A186" s="10" t="s">
        <v>948</v>
      </c>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row>
    <row r="187" spans="1:48" ht="21" customHeight="1">
      <c r="A187" s="9" t="s">
        <v>949</v>
      </c>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row>
    <row r="188" spans="1:48" ht="9" customHeight="1"/>
    <row r="189" spans="1:48" ht="63" customHeight="1">
      <c r="A189" s="6" t="s">
        <v>950</v>
      </c>
      <c r="B189" s="6"/>
      <c r="C189" s="6"/>
      <c r="D189" s="6"/>
      <c r="E189" s="6"/>
      <c r="F189" s="6"/>
      <c r="G189" s="6"/>
      <c r="H189" s="6"/>
      <c r="I189" s="6"/>
      <c r="J189" s="6"/>
      <c r="K189" s="5" t="s">
        <v>951</v>
      </c>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ht="8" customHeight="1"/>
  </sheetData>
  <mergeCells count="212">
    <mergeCell ref="A1:AV1"/>
    <mergeCell ref="A2:AV2"/>
    <mergeCell ref="A3:AV3"/>
    <mergeCell ref="A4:X4"/>
    <mergeCell ref="Y4:AV4"/>
    <mergeCell ref="A6:J6"/>
    <mergeCell ref="K6:AV6"/>
    <mergeCell ref="A8:J8"/>
    <mergeCell ref="K8:AV8"/>
    <mergeCell ref="A10:AV10"/>
    <mergeCell ref="A11:AV11"/>
    <mergeCell ref="A12:AV12"/>
    <mergeCell ref="A13:AV13"/>
    <mergeCell ref="A14:AV14"/>
    <mergeCell ref="A15:AV15"/>
    <mergeCell ref="A16:AV16"/>
    <mergeCell ref="A17:AV17"/>
    <mergeCell ref="A18:AV18"/>
    <mergeCell ref="A19:AV19"/>
    <mergeCell ref="A20:AV20"/>
    <mergeCell ref="A21:AV21"/>
    <mergeCell ref="A22:AV22"/>
    <mergeCell ref="A23:AV23"/>
    <mergeCell ref="A24:AV24"/>
    <mergeCell ref="A25:AV25"/>
    <mergeCell ref="A26:AV26"/>
    <mergeCell ref="A27:AV27"/>
    <mergeCell ref="A28:AV28"/>
    <mergeCell ref="A29:AV29"/>
    <mergeCell ref="A30:AV30"/>
    <mergeCell ref="A31:AV31"/>
    <mergeCell ref="A32:AV32"/>
    <mergeCell ref="A33:AV33"/>
    <mergeCell ref="A34:AV34"/>
    <mergeCell ref="A35:AV35"/>
    <mergeCell ref="A36:AV36"/>
    <mergeCell ref="A37:AV37"/>
    <mergeCell ref="A38:AV38"/>
    <mergeCell ref="A39:AV39"/>
    <mergeCell ref="A40:AV40"/>
    <mergeCell ref="A41:AV41"/>
    <mergeCell ref="A42:AV42"/>
    <mergeCell ref="A43:AV43"/>
    <mergeCell ref="A44:AV44"/>
    <mergeCell ref="A45:AV45"/>
    <mergeCell ref="A46:AV46"/>
    <mergeCell ref="A47:AV47"/>
    <mergeCell ref="A48:AV48"/>
    <mergeCell ref="A49:AV49"/>
    <mergeCell ref="A50:AV50"/>
    <mergeCell ref="A51:AV51"/>
    <mergeCell ref="A52:AV52"/>
    <mergeCell ref="A53:AV53"/>
    <mergeCell ref="A54:AV54"/>
    <mergeCell ref="A55:AV55"/>
    <mergeCell ref="A56:AV56"/>
    <mergeCell ref="A57:AV57"/>
    <mergeCell ref="A58:AV58"/>
    <mergeCell ref="A59:AV59"/>
    <mergeCell ref="A60:AV60"/>
    <mergeCell ref="A61:AV61"/>
    <mergeCell ref="A62:AV62"/>
    <mergeCell ref="A63:AV63"/>
    <mergeCell ref="A64:AV64"/>
    <mergeCell ref="A65:AV65"/>
    <mergeCell ref="A66:AV66"/>
    <mergeCell ref="A67:AV67"/>
    <mergeCell ref="A68:AV68"/>
    <mergeCell ref="A69:AV69"/>
    <mergeCell ref="A70:AV70"/>
    <mergeCell ref="A71:AV71"/>
    <mergeCell ref="A72:AV72"/>
    <mergeCell ref="A73:AV73"/>
    <mergeCell ref="A74:AV74"/>
    <mergeCell ref="A75:AV75"/>
    <mergeCell ref="A76:AV76"/>
    <mergeCell ref="A77:AV77"/>
    <mergeCell ref="A78:AV78"/>
    <mergeCell ref="A79:AV79"/>
    <mergeCell ref="A80:AV80"/>
    <mergeCell ref="A81:AV81"/>
    <mergeCell ref="A82:AV82"/>
    <mergeCell ref="A83:AV83"/>
    <mergeCell ref="A84:AV84"/>
    <mergeCell ref="A85:AV85"/>
    <mergeCell ref="A86:AV86"/>
    <mergeCell ref="A87:AV87"/>
    <mergeCell ref="A88:AV88"/>
    <mergeCell ref="A89:AV89"/>
    <mergeCell ref="A90:AV90"/>
    <mergeCell ref="A91:AV91"/>
    <mergeCell ref="A92:AV92"/>
    <mergeCell ref="A93:AV93"/>
    <mergeCell ref="A94:AV94"/>
    <mergeCell ref="A95:AV95"/>
    <mergeCell ref="A96:AV96"/>
    <mergeCell ref="A97:AV97"/>
    <mergeCell ref="A98:AV98"/>
    <mergeCell ref="A99:AV99"/>
    <mergeCell ref="A100:AV100"/>
    <mergeCell ref="A101:AV101"/>
    <mergeCell ref="A102:AV102"/>
    <mergeCell ref="A103:AV103"/>
    <mergeCell ref="A104:AV104"/>
    <mergeCell ref="A105:AV105"/>
    <mergeCell ref="A106:AV106"/>
    <mergeCell ref="A107:AV107"/>
    <mergeCell ref="A108:AV108"/>
    <mergeCell ref="A109:AV109"/>
    <mergeCell ref="A110:AV110"/>
    <mergeCell ref="A111:AV111"/>
    <mergeCell ref="A112:AV112"/>
    <mergeCell ref="A113:AV113"/>
    <mergeCell ref="A114:AV114"/>
    <mergeCell ref="A115:AV115"/>
    <mergeCell ref="A117:J117"/>
    <mergeCell ref="K117:AV117"/>
    <mergeCell ref="A119:AV119"/>
    <mergeCell ref="A120:AV120"/>
    <mergeCell ref="A121:AV121"/>
    <mergeCell ref="A122:AV122"/>
    <mergeCell ref="A123:AV123"/>
    <mergeCell ref="A124:AV124"/>
    <mergeCell ref="A125:AV125"/>
    <mergeCell ref="A126:AV126"/>
    <mergeCell ref="A127:AV127"/>
    <mergeCell ref="A128:AV128"/>
    <mergeCell ref="A129:AV129"/>
    <mergeCell ref="A130:AV130"/>
    <mergeCell ref="A131:AV131"/>
    <mergeCell ref="A132:AV132"/>
    <mergeCell ref="A133:AV133"/>
    <mergeCell ref="A134:AV134"/>
    <mergeCell ref="A135:AV135"/>
    <mergeCell ref="A136:AV136"/>
    <mergeCell ref="A137:AV137"/>
    <mergeCell ref="A138:AV138"/>
    <mergeCell ref="A139:AV139"/>
    <mergeCell ref="A141:AV141"/>
    <mergeCell ref="A142:AV142"/>
    <mergeCell ref="A143:AV143"/>
    <mergeCell ref="A144:AV144"/>
    <mergeCell ref="A145:AV145"/>
    <mergeCell ref="A146:AV146"/>
    <mergeCell ref="A147:AV147"/>
    <mergeCell ref="A148:AV148"/>
    <mergeCell ref="A149:AV149"/>
    <mergeCell ref="A150:AV150"/>
    <mergeCell ref="A151:AV151"/>
    <mergeCell ref="A152:AV152"/>
    <mergeCell ref="A153:AV153"/>
    <mergeCell ref="A154:AV154"/>
    <mergeCell ref="A155:AV155"/>
    <mergeCell ref="A156:AV156"/>
    <mergeCell ref="A157:AV157"/>
    <mergeCell ref="A159:AV159"/>
    <mergeCell ref="A160:C160"/>
    <mergeCell ref="D160:T160"/>
    <mergeCell ref="U160:AR160"/>
    <mergeCell ref="AS160:AV160"/>
    <mergeCell ref="A161:C161"/>
    <mergeCell ref="D161:T161"/>
    <mergeCell ref="U161:AR161"/>
    <mergeCell ref="AS161:AV161"/>
    <mergeCell ref="A162:C162"/>
    <mergeCell ref="D162:T162"/>
    <mergeCell ref="U162:AR162"/>
    <mergeCell ref="AS162:AV162"/>
    <mergeCell ref="A163:C163"/>
    <mergeCell ref="D163:T163"/>
    <mergeCell ref="U163:AR163"/>
    <mergeCell ref="AS163:AV163"/>
    <mergeCell ref="A164:C164"/>
    <mergeCell ref="D164:T164"/>
    <mergeCell ref="U164:AR164"/>
    <mergeCell ref="AS164:AV164"/>
    <mergeCell ref="A165:C165"/>
    <mergeCell ref="D165:T165"/>
    <mergeCell ref="U165:AR165"/>
    <mergeCell ref="AS165:AV165"/>
    <mergeCell ref="A166:C166"/>
    <mergeCell ref="D166:T166"/>
    <mergeCell ref="U166:AR166"/>
    <mergeCell ref="AS166:AV166"/>
    <mergeCell ref="A167:C167"/>
    <mergeCell ref="D167:T167"/>
    <mergeCell ref="U167:AR167"/>
    <mergeCell ref="AS167:AV167"/>
    <mergeCell ref="A168:C168"/>
    <mergeCell ref="D168:T168"/>
    <mergeCell ref="U168:AR168"/>
    <mergeCell ref="AS168:AV168"/>
    <mergeCell ref="A170:AV170"/>
    <mergeCell ref="A171:AV171"/>
    <mergeCell ref="A172:AV172"/>
    <mergeCell ref="A173:AV173"/>
    <mergeCell ref="A174:AV174"/>
    <mergeCell ref="A175:AV175"/>
    <mergeCell ref="A176:AV176"/>
    <mergeCell ref="A177:AV177"/>
    <mergeCell ref="A178:AV178"/>
    <mergeCell ref="A179:AV179"/>
    <mergeCell ref="A180:AV180"/>
    <mergeCell ref="A181:AV181"/>
    <mergeCell ref="A182:AV182"/>
    <mergeCell ref="A183:AV183"/>
    <mergeCell ref="A184:AV184"/>
    <mergeCell ref="A185:AV185"/>
    <mergeCell ref="A186:AV186"/>
    <mergeCell ref="A187:AV187"/>
    <mergeCell ref="A189:J189"/>
    <mergeCell ref="K189:AV189"/>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6.xml><?xml version="1.0" encoding="utf-8"?>
<worksheet xmlns="http://schemas.openxmlformats.org/spreadsheetml/2006/main" xmlns:r="http://schemas.openxmlformats.org/officeDocument/2006/relationships">
  <sheetPr>
    <tabColor rgb="FF777777"/>
    <pageSetUpPr fitToPage="1"/>
  </sheetPr>
  <dimension ref="A1:AV131"/>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952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953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954</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19" customHeight="1">
      <c r="A7" s="10" t="s">
        <v>955</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row>
    <row r="8" spans="1:48" ht="19" customHeight="1">
      <c r="A8" s="10" t="s">
        <v>956</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row>
    <row r="9" spans="1:48" ht="19" customHeight="1">
      <c r="A9" s="10" t="s">
        <v>957</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row>
    <row r="10" spans="1:48" ht="19" customHeight="1">
      <c r="A10" s="10" t="s">
        <v>958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row>
    <row r="11" spans="1:48" ht="19" customHeight="1">
      <c r="A11" s="10" t="s">
        <v>959</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row>
    <row r="12" spans="1:48" ht="19" customHeight="1">
      <c r="A12" s="10" t="s">
        <v>960</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row>
    <row r="13" spans="1:48" ht="19" customHeight="1">
      <c r="A13" s="10" t="s">
        <v>961</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row>
    <row r="14" spans="1:48" ht="19" customHeight="1">
      <c r="A14" s="10" t="s">
        <v>962</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row>
    <row r="15" spans="1:48" ht="19" customHeight="1">
      <c r="A15" s="10" t="s">
        <v>963</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row>
    <row r="16" spans="1:48" ht="19" customHeight="1">
      <c r="A16" s="10" t="s">
        <v>964</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row>
    <row r="17" spans="1:48" ht="19" customHeight="1">
      <c r="A17" s="10" t="s">
        <v>965</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row>
    <row r="18" spans="1:48" ht="19" customHeight="1">
      <c r="A18" s="10" t="s">
        <v>966</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row>
    <row r="19" spans="1:48" ht="19" customHeight="1">
      <c r="A19" s="10" t="s">
        <v>967</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row>
    <row r="20" spans="1:48" ht="19" customHeight="1">
      <c r="A20" s="10" t="s">
        <v>968</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row>
    <row r="21" spans="1:48" ht="19" customHeight="1">
      <c r="A21" s="10" t="s">
        <v>911</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19" customHeight="1">
      <c r="A22" s="10" t="s">
        <v>881</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19" customHeight="1">
      <c r="A23" s="10" t="s">
        <v>336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row>
    <row r="24" spans="1:48" ht="19" customHeight="1">
      <c r="A24" s="10" t="s">
        <v>969</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row>
    <row r="25" spans="1:48" ht="19" customHeight="1">
      <c r="A25" s="10" t="s">
        <v>970</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row>
    <row r="26" spans="1:48" ht="19" customHeight="1">
      <c r="A26" s="10" t="s">
        <v>971</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row>
    <row r="27" spans="1:48" ht="19" customHeight="1">
      <c r="A27" s="10" t="s">
        <v>972</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19" customHeight="1">
      <c r="A28" s="10" t="s">
        <v>973</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row>
    <row r="29" spans="1:48" ht="19" customHeight="1">
      <c r="A29" s="10" t="s">
        <v>974</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row>
    <row r="30" spans="1:48" ht="19" customHeight="1">
      <c r="A30" s="10" t="s">
        <v>975</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row>
    <row r="31" spans="1:48" ht="19" customHeight="1">
      <c r="A31" s="10" t="s">
        <v>976</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row>
    <row r="32" spans="1:48" ht="19" customHeight="1">
      <c r="A32" s="10" t="s">
        <v>977</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row>
    <row r="33" spans="1:48" ht="19" customHeight="1">
      <c r="A33" s="10" t="s">
        <v>978</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row>
    <row r="34" spans="1:48" ht="19" customHeight="1">
      <c r="A34" s="10" t="s">
        <v>979</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row>
    <row r="35" spans="1:48" ht="19" customHeight="1">
      <c r="A35" s="10" t="s">
        <v>980</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row>
    <row r="36" spans="1:48" ht="19" customHeight="1">
      <c r="A36" s="10" t="s">
        <v>981</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row>
    <row r="37" spans="1:48" ht="19" customHeight="1">
      <c r="A37" s="10" t="s">
        <v>982</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row>
    <row r="38" spans="1:48" ht="19" customHeight="1">
      <c r="A38" s="10" t="s">
        <v>983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row>
    <row r="39" spans="1:48" ht="19" customHeight="1">
      <c r="A39" s="10" t="s">
        <v>984</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row>
    <row r="40" spans="1:48" ht="19" customHeight="1">
      <c r="A40" s="10" t="s">
        <v>911</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row>
    <row r="41" spans="1:48" ht="19" customHeight="1">
      <c r="A41" s="10" t="s">
        <v>881</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row>
    <row r="42" spans="1:48" ht="19" customHeight="1">
      <c r="A42" s="10" t="s">
        <v>336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row>
    <row r="43" spans="1:48" ht="19" customHeight="1">
      <c r="A43" s="10" t="s">
        <v>985</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row>
    <row r="44" spans="1:48" ht="19" customHeight="1">
      <c r="A44" s="10" t="s">
        <v>986</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row>
    <row r="45" spans="1:48" ht="19" customHeight="1">
      <c r="A45" s="10" t="s">
        <v>987</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row>
    <row r="46" spans="1:48" ht="19" customHeight="1">
      <c r="A46" s="10" t="s">
        <v>988</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row>
    <row r="47" spans="1:48" ht="19" customHeight="1">
      <c r="A47" s="10" t="s">
        <v>989</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row>
    <row r="48" spans="1:48" ht="19" customHeight="1">
      <c r="A48" s="10" t="s">
        <v>990</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row>
    <row r="49" spans="1:48" ht="19" customHeight="1">
      <c r="A49" s="10" t="s">
        <v>991</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row>
    <row r="50" spans="1:48" ht="19" customHeight="1">
      <c r="A50" s="10" t="s">
        <v>992</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row>
    <row r="51" spans="1:48" ht="19" customHeight="1">
      <c r="A51" s="10" t="s">
        <v>993</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row>
    <row r="52" spans="1:48" ht="19" customHeight="1">
      <c r="A52" s="10" t="s">
        <v>994</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row>
    <row r="53" spans="1:48" ht="19" customHeight="1">
      <c r="A53" s="10" t="s">
        <v>995</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row>
    <row r="54" spans="1:48" ht="19" customHeight="1">
      <c r="A54" s="10" t="s">
        <v>996</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row>
    <row r="55" spans="1:48" ht="19" customHeight="1">
      <c r="A55" s="10" t="s">
        <v>911</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row>
    <row r="56" spans="1:48" ht="19" customHeight="1">
      <c r="A56" s="10" t="s">
        <v>997</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row>
    <row r="57" spans="1:48" ht="19" customHeight="1">
      <c r="A57" s="10" t="s">
        <v>998</v>
      </c>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row>
    <row r="58" spans="1:48" ht="19" customHeight="1">
      <c r="A58" s="10" t="s">
        <v>999</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row>
    <row r="59" spans="1:48" ht="19" customHeight="1">
      <c r="A59" s="10" t="s">
        <v>1000</v>
      </c>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row>
    <row r="60" spans="1:48" ht="19" customHeight="1">
      <c r="A60" s="10" t="s">
        <v>911</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row>
    <row r="61" spans="1:48" ht="19" customHeight="1">
      <c r="A61" s="10" t="s">
        <v>1001</v>
      </c>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row>
    <row r="62" spans="1:48" ht="19" customHeight="1">
      <c r="A62" s="10" t="s">
        <v>1002</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row>
    <row r="63" spans="1:48" ht="19" customHeight="1">
      <c r="A63" s="10" t="s">
        <v>1003</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row>
    <row r="64" spans="1:48" ht="19" customHeight="1">
      <c r="A64" s="10" t="s">
        <v>1004</v>
      </c>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row>
    <row r="65" spans="1:48" ht="19" customHeight="1">
      <c r="A65" s="10" t="s">
        <v>911</v>
      </c>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row>
    <row r="66" spans="1:48" ht="19" customHeight="1">
      <c r="A66" s="10" t="s">
        <v>1005</v>
      </c>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row>
    <row r="67" spans="1:48" ht="19" customHeight="1">
      <c r="A67" s="10" t="s">
        <v>1006</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row>
    <row r="68" spans="1:48" ht="19" customHeight="1">
      <c r="A68" s="10" t="s">
        <v>881</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row>
    <row r="69" spans="1:48" ht="21" customHeight="1">
      <c r="A69" s="9" t="s">
        <v>1007</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row>
    <row r="70" spans="1:48" ht="9" customHeight="1"/>
    <row r="71" spans="1:48" ht="63" customHeight="1">
      <c r="A71" s="6" t="s">
        <v>1008</v>
      </c>
      <c r="B71" s="6"/>
      <c r="C71" s="6"/>
      <c r="D71" s="6"/>
      <c r="E71" s="6"/>
      <c r="F71" s="6"/>
      <c r="G71" s="6"/>
      <c r="H71" s="6"/>
      <c r="I71" s="6"/>
      <c r="J71" s="6"/>
      <c r="K71" s="5" t="s">
        <v>1009</v>
      </c>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ht="21" customHeight="1">
      <c r="A72" s="9" t="s">
        <v>1010</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row>
    <row r="73" spans="1:48" ht="8" customHeight="1"/>
    <row r="74" spans="1:48" ht="29" customHeight="1">
      <c r="A74" s="4" t="s">
        <v>1011</v>
      </c>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row>
    <row r="75" spans="1:48" ht="19" customHeight="1">
      <c r="A75" s="10" t="s">
        <v>1012</v>
      </c>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row>
    <row r="76" spans="1:48" ht="19" customHeight="1">
      <c r="A76" s="10" t="s">
        <v>1013</v>
      </c>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row>
    <row r="77" spans="1:48" ht="19" customHeight="1">
      <c r="A77" s="10" t="s">
        <v>336</v>
      </c>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row>
    <row r="78" spans="1:48" ht="19" customHeight="1">
      <c r="A78" s="10" t="s">
        <v>1014</v>
      </c>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row>
    <row r="79" spans="1:48" ht="19" customHeight="1">
      <c r="A79" s="10" t="s">
        <v>1015</v>
      </c>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row>
    <row r="80" spans="1:48" ht="19" customHeight="1">
      <c r="A80" s="10" t="s">
        <v>1016</v>
      </c>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row>
    <row r="81" spans="1:48" ht="19" customHeight="1">
      <c r="A81" s="10" t="s">
        <v>1017</v>
      </c>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row>
    <row r="82" spans="1:48" ht="19" customHeight="1">
      <c r="A82" s="10" t="s">
        <v>1018</v>
      </c>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row>
    <row r="83" spans="1:48" ht="19" customHeight="1">
      <c r="A83" s="10" t="s">
        <v>1019</v>
      </c>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row>
    <row r="84" spans="1:48" ht="19" customHeight="1">
      <c r="A84" s="10" t="s">
        <v>336</v>
      </c>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row>
    <row r="85" spans="1:48" ht="19" customHeight="1">
      <c r="A85" s="10" t="s">
        <v>1020</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row>
    <row r="86" spans="1:48" ht="19" customHeight="1">
      <c r="A86" s="10" t="s">
        <v>1021</v>
      </c>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row>
    <row r="87" spans="1:48" ht="19" customHeight="1">
      <c r="A87" s="10" t="s">
        <v>1022</v>
      </c>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row>
    <row r="88" spans="1:48" ht="19" customHeight="1">
      <c r="A88" s="10" t="s">
        <v>1023</v>
      </c>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row>
    <row r="89" spans="1:48" ht="19" customHeight="1">
      <c r="A89" s="10" t="s">
        <v>879</v>
      </c>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row>
    <row r="90" spans="1:48" ht="19" customHeight="1">
      <c r="A90" s="10" t="s">
        <v>1024</v>
      </c>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row>
    <row r="91" spans="1:48" ht="19" customHeight="1">
      <c r="A91" s="10" t="s">
        <v>1025</v>
      </c>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row>
    <row r="92" spans="1:48" ht="19" customHeight="1">
      <c r="A92" s="10" t="s">
        <v>1026</v>
      </c>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row>
    <row r="93" spans="1:48" ht="19" customHeight="1">
      <c r="A93" s="10" t="s">
        <v>1027</v>
      </c>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row>
    <row r="94" spans="1:48" ht="19" customHeight="1">
      <c r="A94" s="10" t="s">
        <v>879</v>
      </c>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row>
    <row r="95" spans="1:48" ht="19" customHeight="1">
      <c r="A95" s="10" t="s">
        <v>1028</v>
      </c>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row>
    <row r="96" spans="1:48" ht="19" customHeight="1">
      <c r="A96" s="10" t="s">
        <v>1029</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row>
    <row r="97" spans="1:48" ht="19" customHeight="1">
      <c r="A97" s="10" t="s">
        <v>1030</v>
      </c>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row>
    <row r="98" spans="1:48" ht="19" customHeight="1">
      <c r="A98" s="10" t="s">
        <v>862</v>
      </c>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row>
    <row r="99" spans="1:48" ht="19" customHeight="1">
      <c r="A99" s="10" t="s">
        <v>1031</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row>
    <row r="100" spans="1:48" ht="19" customHeight="1">
      <c r="A100" s="10" t="s">
        <v>1030</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row>
    <row r="101" spans="1:48" ht="19" customHeight="1">
      <c r="A101" s="10" t="s">
        <v>862</v>
      </c>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row>
    <row r="102" spans="1:48" ht="19" customHeight="1">
      <c r="A102" s="10" t="s">
        <v>1032</v>
      </c>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row>
    <row r="103" spans="1:48" ht="19" customHeight="1">
      <c r="A103" s="10" t="s">
        <v>1033</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row>
    <row r="104" spans="1:48" ht="19" customHeight="1">
      <c r="A104" s="10" t="s">
        <v>1034</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row>
    <row r="105" spans="1:48" ht="19" customHeight="1">
      <c r="A105" s="10" t="s">
        <v>862</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row>
    <row r="106" spans="1:48" ht="19" customHeight="1">
      <c r="A106" s="10" t="s">
        <v>879</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row>
    <row r="107" spans="1:48" ht="19" customHeight="1">
      <c r="A107" s="10" t="s">
        <v>1035</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row>
    <row r="108" spans="1:48" ht="19" customHeight="1">
      <c r="A108" s="10" t="s">
        <v>1036</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row>
    <row r="109" spans="1:48" ht="19" customHeight="1">
      <c r="A109" s="10" t="s">
        <v>881</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row>
    <row r="110" spans="1:48" ht="9" customHeight="1"/>
    <row r="111" spans="1:48" ht="46" customHeight="1">
      <c r="A111" s="6" t="s">
        <v>1037</v>
      </c>
      <c r="B111" s="6"/>
      <c r="C111" s="6"/>
      <c r="D111" s="6"/>
      <c r="E111" s="6"/>
      <c r="F111" s="6"/>
      <c r="G111" s="6"/>
      <c r="H111" s="6"/>
      <c r="I111" s="6"/>
      <c r="J111" s="6"/>
      <c r="K111" s="5" t="s">
        <v>1038</v>
      </c>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ht="8" customHeight="1"/>
    <row r="113" spans="1:48" ht="29" customHeight="1">
      <c r="A113" s="4" t="s">
        <v>1039</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row>
    <row r="114" spans="1:48" ht="19" customHeight="1">
      <c r="A114" s="10" t="s">
        <v>1040</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row>
    <row r="115" spans="1:48" ht="19" customHeight="1">
      <c r="A115" s="10" t="s">
        <v>1041</v>
      </c>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row>
    <row r="116" spans="1:48" ht="19" customHeight="1">
      <c r="A116" s="10" t="s">
        <v>1042</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row>
    <row r="117" spans="1:48" ht="19" customHeight="1">
      <c r="A117" s="10" t="s">
        <v>1043</v>
      </c>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row>
    <row r="118" spans="1:48" ht="19" customHeight="1">
      <c r="A118" s="10" t="s">
        <v>1044</v>
      </c>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row>
    <row r="119" spans="1:48" ht="19" customHeight="1">
      <c r="A119" s="10" t="s">
        <v>1045</v>
      </c>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row>
    <row r="120" spans="1:48" ht="19" customHeight="1">
      <c r="A120" s="10" t="s">
        <v>1046</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row>
    <row r="121" spans="1:48" ht="19" customHeight="1">
      <c r="A121" s="10" t="s">
        <v>1047</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row>
    <row r="122" spans="1:48" ht="19" customHeight="1">
      <c r="A122" s="10" t="s">
        <v>1048</v>
      </c>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row>
    <row r="123" spans="1:48" ht="19" customHeight="1">
      <c r="A123" s="10" t="s">
        <v>336</v>
      </c>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row>
    <row r="124" spans="1:48" ht="19" customHeight="1">
      <c r="A124" s="10" t="s">
        <v>1049</v>
      </c>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row>
    <row r="125" spans="1:48" ht="19" customHeight="1">
      <c r="A125" s="10" t="s">
        <v>1050</v>
      </c>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row>
    <row r="126" spans="1:48" ht="19" customHeight="1">
      <c r="A126" s="10" t="s">
        <v>1051</v>
      </c>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row>
    <row r="127" spans="1:48" ht="9" customHeight="1"/>
    <row r="128" spans="1:48" ht="63" customHeight="1">
      <c r="A128" s="6" t="s">
        <v>1052</v>
      </c>
      <c r="B128" s="6"/>
      <c r="C128" s="6"/>
      <c r="D128" s="6"/>
      <c r="E128" s="6"/>
      <c r="F128" s="6"/>
      <c r="G128" s="6"/>
      <c r="H128" s="6"/>
      <c r="I128" s="6"/>
      <c r="J128" s="6"/>
      <c r="K128" s="5" t="s">
        <v>1053</v>
      </c>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ht="8" customHeight="1"/>
    <row r="130" spans="1:48" ht="63" customHeight="1">
      <c r="A130" s="6" t="s">
        <v>1054</v>
      </c>
      <c r="B130" s="6"/>
      <c r="C130" s="6"/>
      <c r="D130" s="6"/>
      <c r="E130" s="6"/>
      <c r="F130" s="6"/>
      <c r="G130" s="6"/>
      <c r="H130" s="6"/>
      <c r="I130" s="6"/>
      <c r="J130" s="6"/>
      <c r="K130" s="5" t="s">
        <v>1055</v>
      </c>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ht="8" customHeight="1"/>
  </sheetData>
  <mergeCells count="128">
    <mergeCell ref="A1:AV1"/>
    <mergeCell ref="A2:AV2"/>
    <mergeCell ref="A3:AV3"/>
    <mergeCell ref="A4:X4"/>
    <mergeCell ref="Y4:AV4"/>
    <mergeCell ref="A6:AV6"/>
    <mergeCell ref="A7:AV7"/>
    <mergeCell ref="A8:AV8"/>
    <mergeCell ref="A9:AV9"/>
    <mergeCell ref="A10:AV10"/>
    <mergeCell ref="A11:AV11"/>
    <mergeCell ref="A12:AV12"/>
    <mergeCell ref="A13:AV13"/>
    <mergeCell ref="A14:AV14"/>
    <mergeCell ref="A15:AV15"/>
    <mergeCell ref="A16:AV16"/>
    <mergeCell ref="A17:AV17"/>
    <mergeCell ref="A18:AV18"/>
    <mergeCell ref="A19:AV19"/>
    <mergeCell ref="A20:AV20"/>
    <mergeCell ref="A21:AV21"/>
    <mergeCell ref="A22:AV22"/>
    <mergeCell ref="A23:AV23"/>
    <mergeCell ref="A24:AV24"/>
    <mergeCell ref="A25:AV25"/>
    <mergeCell ref="A26:AV26"/>
    <mergeCell ref="A27:AV27"/>
    <mergeCell ref="A28:AV28"/>
    <mergeCell ref="A29:AV29"/>
    <mergeCell ref="A30:AV30"/>
    <mergeCell ref="A31:AV31"/>
    <mergeCell ref="A32:AV32"/>
    <mergeCell ref="A33:AV33"/>
    <mergeCell ref="A34:AV34"/>
    <mergeCell ref="A35:AV35"/>
    <mergeCell ref="A36:AV36"/>
    <mergeCell ref="A37:AV37"/>
    <mergeCell ref="A38:AV38"/>
    <mergeCell ref="A39:AV39"/>
    <mergeCell ref="A40:AV40"/>
    <mergeCell ref="A41:AV41"/>
    <mergeCell ref="A42:AV42"/>
    <mergeCell ref="A43:AV43"/>
    <mergeCell ref="A44:AV44"/>
    <mergeCell ref="A45:AV45"/>
    <mergeCell ref="A46:AV46"/>
    <mergeCell ref="A47:AV47"/>
    <mergeCell ref="A48:AV48"/>
    <mergeCell ref="A49:AV49"/>
    <mergeCell ref="A50:AV50"/>
    <mergeCell ref="A51:AV51"/>
    <mergeCell ref="A52:AV52"/>
    <mergeCell ref="A53:AV53"/>
    <mergeCell ref="A54:AV54"/>
    <mergeCell ref="A55:AV55"/>
    <mergeCell ref="A56:AV56"/>
    <mergeCell ref="A57:AV57"/>
    <mergeCell ref="A58:AV58"/>
    <mergeCell ref="A59:AV59"/>
    <mergeCell ref="A60:AV60"/>
    <mergeCell ref="A61:AV61"/>
    <mergeCell ref="A62:AV62"/>
    <mergeCell ref="A63:AV63"/>
    <mergeCell ref="A64:AV64"/>
    <mergeCell ref="A65:AV65"/>
    <mergeCell ref="A66:AV66"/>
    <mergeCell ref="A67:AV67"/>
    <mergeCell ref="A68:AV68"/>
    <mergeCell ref="A69:AV69"/>
    <mergeCell ref="A71:J71"/>
    <mergeCell ref="K71:AV71"/>
    <mergeCell ref="A72:AV72"/>
    <mergeCell ref="A74:AV74"/>
    <mergeCell ref="A75:AV75"/>
    <mergeCell ref="A76:AV76"/>
    <mergeCell ref="A77:AV77"/>
    <mergeCell ref="A78:AV78"/>
    <mergeCell ref="A79:AV79"/>
    <mergeCell ref="A80:AV80"/>
    <mergeCell ref="A81:AV81"/>
    <mergeCell ref="A82:AV82"/>
    <mergeCell ref="A83:AV83"/>
    <mergeCell ref="A84:AV84"/>
    <mergeCell ref="A85:AV85"/>
    <mergeCell ref="A86:AV86"/>
    <mergeCell ref="A87:AV87"/>
    <mergeCell ref="A88:AV88"/>
    <mergeCell ref="A89:AV89"/>
    <mergeCell ref="A90:AV90"/>
    <mergeCell ref="A91:AV91"/>
    <mergeCell ref="A92:AV92"/>
    <mergeCell ref="A93:AV93"/>
    <mergeCell ref="A94:AV94"/>
    <mergeCell ref="A95:AV95"/>
    <mergeCell ref="A96:AV96"/>
    <mergeCell ref="A97:AV97"/>
    <mergeCell ref="A98:AV98"/>
    <mergeCell ref="A99:AV99"/>
    <mergeCell ref="A100:AV100"/>
    <mergeCell ref="A101:AV101"/>
    <mergeCell ref="A102:AV102"/>
    <mergeCell ref="A103:AV103"/>
    <mergeCell ref="A104:AV104"/>
    <mergeCell ref="A105:AV105"/>
    <mergeCell ref="A106:AV106"/>
    <mergeCell ref="A107:AV107"/>
    <mergeCell ref="A108:AV108"/>
    <mergeCell ref="A109:AV109"/>
    <mergeCell ref="A111:J111"/>
    <mergeCell ref="K111:AV111"/>
    <mergeCell ref="A113:AV113"/>
    <mergeCell ref="A114:AV114"/>
    <mergeCell ref="A115:AV115"/>
    <mergeCell ref="A116:AV116"/>
    <mergeCell ref="A117:AV117"/>
    <mergeCell ref="A118:AV118"/>
    <mergeCell ref="A119:AV119"/>
    <mergeCell ref="A120:AV120"/>
    <mergeCell ref="A121:AV121"/>
    <mergeCell ref="A122:AV122"/>
    <mergeCell ref="A123:AV123"/>
    <mergeCell ref="A124:AV124"/>
    <mergeCell ref="A125:AV125"/>
    <mergeCell ref="A126:AV126"/>
    <mergeCell ref="A128:J128"/>
    <mergeCell ref="K128:AV128"/>
    <mergeCell ref="A130:J130"/>
    <mergeCell ref="K130:AV130"/>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7.xml><?xml version="1.0" encoding="utf-8"?>
<worksheet xmlns="http://schemas.openxmlformats.org/spreadsheetml/2006/main" xmlns:r="http://schemas.openxmlformats.org/officeDocument/2006/relationships">
  <sheetPr>
    <tabColor rgb="FF777777"/>
    <pageSetUpPr fitToPage="1"/>
  </sheetPr>
  <dimension ref="A1:AV34"/>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1056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1057</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1058</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1059</v>
      </c>
      <c r="B7" s="7"/>
      <c r="C7" s="7"/>
      <c r="D7" s="7"/>
      <c r="E7" s="7"/>
      <c r="F7" s="7"/>
      <c r="G7" s="7"/>
      <c r="H7" s="7"/>
      <c r="I7" s="7"/>
      <c r="J7" s="7"/>
      <c r="K7" s="7" t="s">
        <v>1060</v>
      </c>
      <c r="L7" s="7"/>
      <c r="M7" s="7"/>
      <c r="N7" s="7"/>
      <c r="O7" s="7"/>
      <c r="P7" s="7"/>
      <c r="Q7" s="7"/>
      <c r="R7" s="7"/>
      <c r="S7" s="7"/>
      <c r="T7" s="7"/>
      <c r="U7" s="7"/>
      <c r="V7" s="7"/>
      <c r="W7" s="7"/>
      <c r="X7" s="7"/>
      <c r="Y7" s="7"/>
      <c r="Z7" s="7"/>
      <c r="AA7" s="7"/>
      <c r="AB7" s="7"/>
      <c r="AC7" s="7"/>
      <c r="AD7" s="7"/>
      <c r="AE7" s="7" t="s">
        <v>1061</v>
      </c>
      <c r="AF7" s="7"/>
      <c r="AG7" s="7"/>
      <c r="AH7" s="7"/>
      <c r="AI7" s="7"/>
      <c r="AJ7" s="7"/>
      <c r="AK7" s="7"/>
      <c r="AL7" s="7"/>
      <c r="AM7" s="7"/>
      <c r="AN7" s="7"/>
      <c r="AO7" s="7"/>
      <c r="AP7" s="7"/>
      <c r="AQ7" s="7"/>
      <c r="AR7" s="7"/>
      <c r="AS7" s="7"/>
      <c r="AT7" s="7"/>
      <c r="AU7" s="7"/>
      <c r="AV7" s="7"/>
    </row>
    <row r="8" spans="1:48" ht="46" customHeight="1">
      <c r="A8" s="5" t="s">
        <v>1062</v>
      </c>
      <c r="B8" s="5"/>
      <c r="C8" s="5"/>
      <c r="D8" s="5"/>
      <c r="E8" s="5"/>
      <c r="F8" s="5"/>
      <c r="G8" s="5"/>
      <c r="H8" s="5"/>
      <c r="I8" s="5"/>
      <c r="J8" s="5"/>
      <c r="K8" s="5" t="s">
        <v>1063</v>
      </c>
      <c r="L8" s="5"/>
      <c r="M8" s="5"/>
      <c r="N8" s="5"/>
      <c r="O8" s="5"/>
      <c r="P8" s="5"/>
      <c r="Q8" s="5"/>
      <c r="R8" s="5"/>
      <c r="S8" s="5"/>
      <c r="T8" s="5"/>
      <c r="U8" s="5"/>
      <c r="V8" s="5"/>
      <c r="W8" s="5"/>
      <c r="X8" s="5"/>
      <c r="Y8" s="5"/>
      <c r="Z8" s="5"/>
      <c r="AA8" s="5"/>
      <c r="AB8" s="5"/>
      <c r="AC8" s="5"/>
      <c r="AD8" s="5"/>
      <c r="AE8" s="5" t="s">
        <v>1064</v>
      </c>
      <c r="AF8" s="5"/>
      <c r="AG8" s="5"/>
      <c r="AH8" s="5"/>
      <c r="AI8" s="5"/>
      <c r="AJ8" s="5"/>
      <c r="AK8" s="5"/>
      <c r="AL8" s="5"/>
      <c r="AM8" s="5"/>
      <c r="AN8" s="5"/>
      <c r="AO8" s="5"/>
      <c r="AP8" s="5"/>
      <c r="AQ8" s="5"/>
      <c r="AR8" s="5"/>
      <c r="AS8" s="5"/>
      <c r="AT8" s="5"/>
      <c r="AU8" s="5"/>
      <c r="AV8" s="5"/>
    </row>
    <row r="9" spans="1:48" ht="29" customHeight="1">
      <c r="A9" s="8" t="s">
        <v>1065</v>
      </c>
      <c r="B9" s="8"/>
      <c r="C9" s="8"/>
      <c r="D9" s="8"/>
      <c r="E9" s="8"/>
      <c r="F9" s="8"/>
      <c r="G9" s="8"/>
      <c r="H9" s="8"/>
      <c r="I9" s="8"/>
      <c r="J9" s="8"/>
      <c r="K9" s="8" t="s">
        <v>1066</v>
      </c>
      <c r="L9" s="8"/>
      <c r="M9" s="8"/>
      <c r="N9" s="8"/>
      <c r="O9" s="8"/>
      <c r="P9" s="8"/>
      <c r="Q9" s="8"/>
      <c r="R9" s="8"/>
      <c r="S9" s="8"/>
      <c r="T9" s="8"/>
      <c r="U9" s="8"/>
      <c r="V9" s="8"/>
      <c r="W9" s="8"/>
      <c r="X9" s="8"/>
      <c r="Y9" s="8"/>
      <c r="Z9" s="8"/>
      <c r="AA9" s="8"/>
      <c r="AB9" s="8"/>
      <c r="AC9" s="8"/>
      <c r="AD9" s="8"/>
      <c r="AE9" s="8" t="s">
        <v>1067</v>
      </c>
      <c r="AF9" s="8"/>
      <c r="AG9" s="8"/>
      <c r="AH9" s="8"/>
      <c r="AI9" s="8"/>
      <c r="AJ9" s="8"/>
      <c r="AK9" s="8"/>
      <c r="AL9" s="8"/>
      <c r="AM9" s="8"/>
      <c r="AN9" s="8"/>
      <c r="AO9" s="8"/>
      <c r="AP9" s="8"/>
      <c r="AQ9" s="8"/>
      <c r="AR9" s="8"/>
      <c r="AS9" s="8"/>
      <c r="AT9" s="8"/>
      <c r="AU9" s="8"/>
      <c r="AV9" s="8"/>
    </row>
    <row r="10" spans="1:48" ht="46" customHeight="1">
      <c r="A10" s="5" t="s">
        <v>1068</v>
      </c>
      <c r="B10" s="5"/>
      <c r="C10" s="5"/>
      <c r="D10" s="5"/>
      <c r="E10" s="5"/>
      <c r="F10" s="5"/>
      <c r="G10" s="5"/>
      <c r="H10" s="5"/>
      <c r="I10" s="5"/>
      <c r="J10" s="5"/>
      <c r="K10" s="5" t="s">
        <v>1069</v>
      </c>
      <c r="L10" s="5"/>
      <c r="M10" s="5"/>
      <c r="N10" s="5"/>
      <c r="O10" s="5"/>
      <c r="P10" s="5"/>
      <c r="Q10" s="5"/>
      <c r="R10" s="5"/>
      <c r="S10" s="5"/>
      <c r="T10" s="5"/>
      <c r="U10" s="5"/>
      <c r="V10" s="5"/>
      <c r="W10" s="5"/>
      <c r="X10" s="5"/>
      <c r="Y10" s="5"/>
      <c r="Z10" s="5"/>
      <c r="AA10" s="5"/>
      <c r="AB10" s="5"/>
      <c r="AC10" s="5"/>
      <c r="AD10" s="5"/>
      <c r="AE10" s="5" t="s">
        <v>1070</v>
      </c>
      <c r="AF10" s="5"/>
      <c r="AG10" s="5"/>
      <c r="AH10" s="5"/>
      <c r="AI10" s="5"/>
      <c r="AJ10" s="5"/>
      <c r="AK10" s="5"/>
      <c r="AL10" s="5"/>
      <c r="AM10" s="5"/>
      <c r="AN10" s="5"/>
      <c r="AO10" s="5"/>
      <c r="AP10" s="5"/>
      <c r="AQ10" s="5"/>
      <c r="AR10" s="5"/>
      <c r="AS10" s="5"/>
      <c r="AT10" s="5"/>
      <c r="AU10" s="5"/>
      <c r="AV10" s="5"/>
    </row>
    <row r="11" spans="1:48" ht="29" customHeight="1">
      <c r="A11" s="8" t="s">
        <v>1071</v>
      </c>
      <c r="B11" s="8"/>
      <c r="C11" s="8"/>
      <c r="D11" s="8"/>
      <c r="E11" s="8"/>
      <c r="F11" s="8"/>
      <c r="G11" s="8"/>
      <c r="H11" s="8"/>
      <c r="I11" s="8"/>
      <c r="J11" s="8"/>
      <c r="K11" s="8" t="s">
        <v>1072</v>
      </c>
      <c r="L11" s="8"/>
      <c r="M11" s="8"/>
      <c r="N11" s="8"/>
      <c r="O11" s="8"/>
      <c r="P11" s="8"/>
      <c r="Q11" s="8"/>
      <c r="R11" s="8"/>
      <c r="S11" s="8"/>
      <c r="T11" s="8"/>
      <c r="U11" s="8"/>
      <c r="V11" s="8"/>
      <c r="W11" s="8"/>
      <c r="X11" s="8"/>
      <c r="Y11" s="8"/>
      <c r="Z11" s="8"/>
      <c r="AA11" s="8"/>
      <c r="AB11" s="8"/>
      <c r="AC11" s="8"/>
      <c r="AD11" s="8"/>
      <c r="AE11" s="8" t="s">
        <v>1073</v>
      </c>
      <c r="AF11" s="8"/>
      <c r="AG11" s="8"/>
      <c r="AH11" s="8"/>
      <c r="AI11" s="8"/>
      <c r="AJ11" s="8"/>
      <c r="AK11" s="8"/>
      <c r="AL11" s="8"/>
      <c r="AM11" s="8"/>
      <c r="AN11" s="8"/>
      <c r="AO11" s="8"/>
      <c r="AP11" s="8"/>
      <c r="AQ11" s="8"/>
      <c r="AR11" s="8"/>
      <c r="AS11" s="8"/>
      <c r="AT11" s="8"/>
      <c r="AU11" s="8"/>
      <c r="AV11" s="8"/>
    </row>
    <row r="12" spans="1:48" ht="46" customHeight="1">
      <c r="A12" s="5" t="s">
        <v>1074</v>
      </c>
      <c r="B12" s="5"/>
      <c r="C12" s="5"/>
      <c r="D12" s="5"/>
      <c r="E12" s="5"/>
      <c r="F12" s="5"/>
      <c r="G12" s="5"/>
      <c r="H12" s="5"/>
      <c r="I12" s="5"/>
      <c r="J12" s="5"/>
      <c r="K12" s="5" t="s">
        <v>1075</v>
      </c>
      <c r="L12" s="5"/>
      <c r="M12" s="5"/>
      <c r="N12" s="5"/>
      <c r="O12" s="5"/>
      <c r="P12" s="5"/>
      <c r="Q12" s="5"/>
      <c r="R12" s="5"/>
      <c r="S12" s="5"/>
      <c r="T12" s="5"/>
      <c r="U12" s="5"/>
      <c r="V12" s="5"/>
      <c r="W12" s="5"/>
      <c r="X12" s="5"/>
      <c r="Y12" s="5"/>
      <c r="Z12" s="5"/>
      <c r="AA12" s="5"/>
      <c r="AB12" s="5"/>
      <c r="AC12" s="5"/>
      <c r="AD12" s="5"/>
      <c r="AE12" s="5" t="s">
        <v>1076</v>
      </c>
      <c r="AF12" s="5"/>
      <c r="AG12" s="5"/>
      <c r="AH12" s="5"/>
      <c r="AI12" s="5"/>
      <c r="AJ12" s="5"/>
      <c r="AK12" s="5"/>
      <c r="AL12" s="5"/>
      <c r="AM12" s="5"/>
      <c r="AN12" s="5"/>
      <c r="AO12" s="5"/>
      <c r="AP12" s="5"/>
      <c r="AQ12" s="5"/>
      <c r="AR12" s="5"/>
      <c r="AS12" s="5"/>
      <c r="AT12" s="5"/>
      <c r="AU12" s="5"/>
      <c r="AV12" s="5"/>
    </row>
    <row r="13" spans="1:48" ht="29" customHeight="1">
      <c r="A13" s="8" t="s">
        <v>1077</v>
      </c>
      <c r="B13" s="8"/>
      <c r="C13" s="8"/>
      <c r="D13" s="8"/>
      <c r="E13" s="8"/>
      <c r="F13" s="8"/>
      <c r="G13" s="8"/>
      <c r="H13" s="8"/>
      <c r="I13" s="8"/>
      <c r="J13" s="8"/>
      <c r="K13" s="8" t="s">
        <v>1078</v>
      </c>
      <c r="L13" s="8"/>
      <c r="M13" s="8"/>
      <c r="N13" s="8"/>
      <c r="O13" s="8"/>
      <c r="P13" s="8"/>
      <c r="Q13" s="8"/>
      <c r="R13" s="8"/>
      <c r="S13" s="8"/>
      <c r="T13" s="8"/>
      <c r="U13" s="8"/>
      <c r="V13" s="8"/>
      <c r="W13" s="8"/>
      <c r="X13" s="8"/>
      <c r="Y13" s="8"/>
      <c r="Z13" s="8"/>
      <c r="AA13" s="8"/>
      <c r="AB13" s="8"/>
      <c r="AC13" s="8"/>
      <c r="AD13" s="8"/>
      <c r="AE13" s="8" t="s">
        <v>1079</v>
      </c>
      <c r="AF13" s="8"/>
      <c r="AG13" s="8"/>
      <c r="AH13" s="8"/>
      <c r="AI13" s="8"/>
      <c r="AJ13" s="8"/>
      <c r="AK13" s="8"/>
      <c r="AL13" s="8"/>
      <c r="AM13" s="8"/>
      <c r="AN13" s="8"/>
      <c r="AO13" s="8"/>
      <c r="AP13" s="8"/>
      <c r="AQ13" s="8"/>
      <c r="AR13" s="8"/>
      <c r="AS13" s="8"/>
      <c r="AT13" s="8"/>
      <c r="AU13" s="8"/>
      <c r="AV13" s="8"/>
    </row>
    <row r="14" spans="1:48" ht="29" customHeight="1">
      <c r="A14" s="5" t="s">
        <v>1080</v>
      </c>
      <c r="B14" s="5"/>
      <c r="C14" s="5"/>
      <c r="D14" s="5"/>
      <c r="E14" s="5"/>
      <c r="F14" s="5"/>
      <c r="G14" s="5"/>
      <c r="H14" s="5"/>
      <c r="I14" s="5"/>
      <c r="J14" s="5"/>
      <c r="K14" s="5" t="s">
        <v>1081</v>
      </c>
      <c r="L14" s="5"/>
      <c r="M14" s="5"/>
      <c r="N14" s="5"/>
      <c r="O14" s="5"/>
      <c r="P14" s="5"/>
      <c r="Q14" s="5"/>
      <c r="R14" s="5"/>
      <c r="S14" s="5"/>
      <c r="T14" s="5"/>
      <c r="U14" s="5"/>
      <c r="V14" s="5"/>
      <c r="W14" s="5"/>
      <c r="X14" s="5"/>
      <c r="Y14" s="5"/>
      <c r="Z14" s="5"/>
      <c r="AA14" s="5"/>
      <c r="AB14" s="5"/>
      <c r="AC14" s="5"/>
      <c r="AD14" s="5"/>
      <c r="AE14" s="5" t="s">
        <v>1082</v>
      </c>
      <c r="AF14" s="5"/>
      <c r="AG14" s="5"/>
      <c r="AH14" s="5"/>
      <c r="AI14" s="5"/>
      <c r="AJ14" s="5"/>
      <c r="AK14" s="5"/>
      <c r="AL14" s="5"/>
      <c r="AM14" s="5"/>
      <c r="AN14" s="5"/>
      <c r="AO14" s="5"/>
      <c r="AP14" s="5"/>
      <c r="AQ14" s="5"/>
      <c r="AR14" s="5"/>
      <c r="AS14" s="5"/>
      <c r="AT14" s="5"/>
      <c r="AU14" s="5"/>
      <c r="AV14" s="5"/>
    </row>
    <row r="15" spans="1:48" ht="29" customHeight="1">
      <c r="A15" s="8" t="s">
        <v>1083</v>
      </c>
      <c r="B15" s="8"/>
      <c r="C15" s="8"/>
      <c r="D15" s="8"/>
      <c r="E15" s="8"/>
      <c r="F15" s="8"/>
      <c r="G15" s="8"/>
      <c r="H15" s="8"/>
      <c r="I15" s="8"/>
      <c r="J15" s="8"/>
      <c r="K15" s="8" t="s">
        <v>1084</v>
      </c>
      <c r="L15" s="8"/>
      <c r="M15" s="8"/>
      <c r="N15" s="8"/>
      <c r="O15" s="8"/>
      <c r="P15" s="8"/>
      <c r="Q15" s="8"/>
      <c r="R15" s="8"/>
      <c r="S15" s="8"/>
      <c r="T15" s="8"/>
      <c r="U15" s="8"/>
      <c r="V15" s="8"/>
      <c r="W15" s="8"/>
      <c r="X15" s="8"/>
      <c r="Y15" s="8"/>
      <c r="Z15" s="8"/>
      <c r="AA15" s="8"/>
      <c r="AB15" s="8"/>
      <c r="AC15" s="8"/>
      <c r="AD15" s="8"/>
      <c r="AE15" s="8" t="s">
        <v>1085</v>
      </c>
      <c r="AF15" s="8"/>
      <c r="AG15" s="8"/>
      <c r="AH15" s="8"/>
      <c r="AI15" s="8"/>
      <c r="AJ15" s="8"/>
      <c r="AK15" s="8"/>
      <c r="AL15" s="8"/>
      <c r="AM15" s="8"/>
      <c r="AN15" s="8"/>
      <c r="AO15" s="8"/>
      <c r="AP15" s="8"/>
      <c r="AQ15" s="8"/>
      <c r="AR15" s="8"/>
      <c r="AS15" s="8"/>
      <c r="AT15" s="8"/>
      <c r="AU15" s="8"/>
      <c r="AV15" s="8"/>
    </row>
    <row r="16" spans="1:48" ht="10" customHeight="1"/>
    <row r="17" spans="1:48" ht="63" customHeight="1">
      <c r="A17" s="6" t="s">
        <v>1086</v>
      </c>
      <c r="B17" s="6"/>
      <c r="C17" s="6"/>
      <c r="D17" s="6"/>
      <c r="E17" s="6"/>
      <c r="F17" s="6"/>
      <c r="G17" s="6"/>
      <c r="H17" s="6"/>
      <c r="I17" s="6"/>
      <c r="J17" s="6"/>
      <c r="K17" s="5" t="s">
        <v>1087</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21" customHeight="1">
      <c r="A18" s="9" t="s">
        <v>1088</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row>
    <row r="19" spans="1:48" ht="8" customHeight="1"/>
    <row r="20" spans="1:48" ht="29" customHeight="1">
      <c r="A20" s="4" t="s">
        <v>1089</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row>
    <row r="21" spans="1:48" ht="19" customHeight="1">
      <c r="A21" s="10" t="s">
        <v>1090</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9" customHeight="1"/>
    <row r="23" spans="1:48" ht="63" customHeight="1">
      <c r="A23" s="6" t="s">
        <v>1091</v>
      </c>
      <c r="B23" s="6"/>
      <c r="C23" s="6"/>
      <c r="D23" s="6"/>
      <c r="E23" s="6"/>
      <c r="F23" s="6"/>
      <c r="G23" s="6"/>
      <c r="H23" s="6"/>
      <c r="I23" s="6"/>
      <c r="J23" s="6"/>
      <c r="K23" s="5" t="s">
        <v>1092</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ht="21" customHeight="1">
      <c r="A24" s="9" t="s">
        <v>1093</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spans="1:48" ht="8" customHeight="1"/>
    <row r="26" spans="1:48" ht="46" customHeight="1">
      <c r="A26" s="6" t="s">
        <v>1094</v>
      </c>
      <c r="B26" s="6"/>
      <c r="C26" s="6"/>
      <c r="D26" s="6"/>
      <c r="E26" s="6"/>
      <c r="F26" s="6"/>
      <c r="G26" s="6"/>
      <c r="H26" s="6"/>
      <c r="I26" s="6"/>
      <c r="J26" s="6"/>
      <c r="K26" s="5" t="s">
        <v>1095</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21" customHeight="1">
      <c r="A27" s="9" t="s">
        <v>1096</v>
      </c>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ht="8" customHeight="1"/>
    <row r="29" spans="1:48" ht="46" customHeight="1">
      <c r="A29" s="6" t="s">
        <v>1097</v>
      </c>
      <c r="B29" s="6"/>
      <c r="C29" s="6"/>
      <c r="D29" s="6"/>
      <c r="E29" s="6"/>
      <c r="F29" s="6"/>
      <c r="G29" s="6"/>
      <c r="H29" s="6"/>
      <c r="I29" s="6"/>
      <c r="J29" s="6"/>
      <c r="K29" s="5" t="s">
        <v>1098</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21" customHeight="1">
      <c r="A30" s="9" t="s">
        <v>535</v>
      </c>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row>
    <row r="31" spans="1:48" ht="8" customHeight="1"/>
    <row r="32" spans="1:48" ht="63" customHeight="1">
      <c r="A32" s="6" t="s">
        <v>1099</v>
      </c>
      <c r="B32" s="6"/>
      <c r="C32" s="6"/>
      <c r="D32" s="6"/>
      <c r="E32" s="6"/>
      <c r="F32" s="6"/>
      <c r="G32" s="6"/>
      <c r="H32" s="6"/>
      <c r="I32" s="6"/>
      <c r="J32" s="6"/>
      <c r="K32" s="5" t="s">
        <v>1100</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ht="21" customHeight="1">
      <c r="A33" s="9" t="s">
        <v>1101</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row>
    <row r="34" spans="1:48" ht="8" customHeight="1"/>
  </sheetData>
  <mergeCells count="50">
    <mergeCell ref="A1:AV1"/>
    <mergeCell ref="A2:AV2"/>
    <mergeCell ref="A3:AV3"/>
    <mergeCell ref="A4:X4"/>
    <mergeCell ref="Y4:AV4"/>
    <mergeCell ref="A6:AV6"/>
    <mergeCell ref="A7:J7"/>
    <mergeCell ref="K7:AD7"/>
    <mergeCell ref="AE7:AV7"/>
    <mergeCell ref="A8:J8"/>
    <mergeCell ref="K8:AD8"/>
    <mergeCell ref="AE8:AV8"/>
    <mergeCell ref="A9:J9"/>
    <mergeCell ref="K9:AD9"/>
    <mergeCell ref="AE9:AV9"/>
    <mergeCell ref="A10:J10"/>
    <mergeCell ref="K10:AD10"/>
    <mergeCell ref="AE10:AV10"/>
    <mergeCell ref="A11:J11"/>
    <mergeCell ref="K11:AD11"/>
    <mergeCell ref="AE11:AV11"/>
    <mergeCell ref="A12:J12"/>
    <mergeCell ref="K12:AD12"/>
    <mergeCell ref="AE12:AV12"/>
    <mergeCell ref="A13:J13"/>
    <mergeCell ref="K13:AD13"/>
    <mergeCell ref="AE13:AV13"/>
    <mergeCell ref="A14:J14"/>
    <mergeCell ref="K14:AD14"/>
    <mergeCell ref="AE14:AV14"/>
    <mergeCell ref="A15:J15"/>
    <mergeCell ref="K15:AD15"/>
    <mergeCell ref="AE15:AV15"/>
    <mergeCell ref="A17:J17"/>
    <mergeCell ref="K17:AV17"/>
    <mergeCell ref="A18:AV18"/>
    <mergeCell ref="A20:AV20"/>
    <mergeCell ref="A21:AV21"/>
    <mergeCell ref="A23:J23"/>
    <mergeCell ref="K23:AV23"/>
    <mergeCell ref="A24:AV24"/>
    <mergeCell ref="A26:J26"/>
    <mergeCell ref="K26:AV26"/>
    <mergeCell ref="A27:AV27"/>
    <mergeCell ref="A29:J29"/>
    <mergeCell ref="K29:AV29"/>
    <mergeCell ref="A30:AV30"/>
    <mergeCell ref="A32:J32"/>
    <mergeCell ref="K32:AV32"/>
    <mergeCell ref="A33:AV33"/>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8.xml><?xml version="1.0" encoding="utf-8"?>
<worksheet xmlns="http://schemas.openxmlformats.org/spreadsheetml/2006/main" xmlns:r="http://schemas.openxmlformats.org/officeDocument/2006/relationships">
  <sheetPr>
    <tabColor rgb="FF777777"/>
    <pageSetUpPr fitToPage="1"/>
  </sheetPr>
  <dimension ref="A1:AV49"/>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1102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1103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1104</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1105</v>
      </c>
      <c r="B7" s="7"/>
      <c r="C7" s="7"/>
      <c r="D7" s="7"/>
      <c r="E7" s="7"/>
      <c r="F7" s="7"/>
      <c r="G7" s="7"/>
      <c r="H7" s="7"/>
      <c r="I7" s="7"/>
      <c r="J7" s="7"/>
      <c r="K7" s="7"/>
      <c r="L7" s="7"/>
      <c r="M7" s="7"/>
      <c r="N7" s="7" t="s">
        <v>1106</v>
      </c>
      <c r="O7" s="7"/>
      <c r="P7" s="7"/>
      <c r="Q7" s="7"/>
      <c r="R7" s="7"/>
      <c r="S7" s="7"/>
      <c r="T7" s="7"/>
      <c r="U7" s="7"/>
      <c r="V7" s="7"/>
      <c r="W7" s="7"/>
      <c r="X7" s="7"/>
      <c r="Y7" s="7"/>
      <c r="Z7" s="7"/>
      <c r="AA7" s="7"/>
      <c r="AB7" s="7"/>
      <c r="AC7" s="7"/>
      <c r="AD7" s="7"/>
      <c r="AE7" s="7" t="s">
        <v>1107</v>
      </c>
      <c r="AF7" s="7"/>
      <c r="AG7" s="7"/>
      <c r="AH7" s="7"/>
      <c r="AI7" s="7"/>
      <c r="AJ7" s="7"/>
      <c r="AK7" s="7"/>
      <c r="AL7" s="7"/>
      <c r="AM7" s="7"/>
      <c r="AN7" s="7"/>
      <c r="AO7" s="7"/>
      <c r="AP7" s="7"/>
      <c r="AQ7" s="7"/>
      <c r="AR7" s="7"/>
      <c r="AS7" s="7"/>
      <c r="AT7" s="7"/>
      <c r="AU7" s="7"/>
      <c r="AV7" s="7"/>
    </row>
    <row r="8" spans="1:48" ht="46" customHeight="1">
      <c r="A8" s="5" t="s">
        <v>1108</v>
      </c>
      <c r="B8" s="5"/>
      <c r="C8" s="5"/>
      <c r="D8" s="5"/>
      <c r="E8" s="5"/>
      <c r="F8" s="5"/>
      <c r="G8" s="5"/>
      <c r="H8" s="5"/>
      <c r="I8" s="5"/>
      <c r="J8" s="5"/>
      <c r="K8" s="5"/>
      <c r="L8" s="5"/>
      <c r="M8" s="5"/>
      <c r="N8" s="5" t="s">
        <v>1109</v>
      </c>
      <c r="O8" s="5"/>
      <c r="P8" s="5"/>
      <c r="Q8" s="5"/>
      <c r="R8" s="5"/>
      <c r="S8" s="5"/>
      <c r="T8" s="5"/>
      <c r="U8" s="5"/>
      <c r="V8" s="5"/>
      <c r="W8" s="5"/>
      <c r="X8" s="5"/>
      <c r="Y8" s="5"/>
      <c r="Z8" s="5"/>
      <c r="AA8" s="5"/>
      <c r="AB8" s="5"/>
      <c r="AC8" s="5"/>
      <c r="AD8" s="5"/>
      <c r="AE8" s="5" t="s">
        <v>1110</v>
      </c>
      <c r="AF8" s="5"/>
      <c r="AG8" s="5"/>
      <c r="AH8" s="5"/>
      <c r="AI8" s="5"/>
      <c r="AJ8" s="5"/>
      <c r="AK8" s="5"/>
      <c r="AL8" s="5"/>
      <c r="AM8" s="5"/>
      <c r="AN8" s="5"/>
      <c r="AO8" s="5"/>
      <c r="AP8" s="5"/>
      <c r="AQ8" s="5"/>
      <c r="AR8" s="5"/>
      <c r="AS8" s="5"/>
      <c r="AT8" s="5"/>
      <c r="AU8" s="5"/>
      <c r="AV8" s="5"/>
    </row>
    <row r="9" spans="1:48" ht="29" customHeight="1">
      <c r="A9" s="8" t="s">
        <v>1111</v>
      </c>
      <c r="B9" s="8"/>
      <c r="C9" s="8"/>
      <c r="D9" s="8"/>
      <c r="E9" s="8"/>
      <c r="F9" s="8"/>
      <c r="G9" s="8"/>
      <c r="H9" s="8"/>
      <c r="I9" s="8"/>
      <c r="J9" s="8"/>
      <c r="K9" s="8"/>
      <c r="L9" s="8"/>
      <c r="M9" s="8"/>
      <c r="N9" s="8" t="s">
        <v>1112</v>
      </c>
      <c r="O9" s="8"/>
      <c r="P9" s="8"/>
      <c r="Q9" s="8"/>
      <c r="R9" s="8"/>
      <c r="S9" s="8"/>
      <c r="T9" s="8"/>
      <c r="U9" s="8"/>
      <c r="V9" s="8"/>
      <c r="W9" s="8"/>
      <c r="X9" s="8"/>
      <c r="Y9" s="8"/>
      <c r="Z9" s="8"/>
      <c r="AA9" s="8"/>
      <c r="AB9" s="8"/>
      <c r="AC9" s="8"/>
      <c r="AD9" s="8"/>
      <c r="AE9" s="8" t="s">
        <v>1113</v>
      </c>
      <c r="AF9" s="8"/>
      <c r="AG9" s="8"/>
      <c r="AH9" s="8"/>
      <c r="AI9" s="8"/>
      <c r="AJ9" s="8"/>
      <c r="AK9" s="8"/>
      <c r="AL9" s="8"/>
      <c r="AM9" s="8"/>
      <c r="AN9" s="8"/>
      <c r="AO9" s="8"/>
      <c r="AP9" s="8"/>
      <c r="AQ9" s="8"/>
      <c r="AR9" s="8"/>
      <c r="AS9" s="8"/>
      <c r="AT9" s="8"/>
      <c r="AU9" s="8"/>
      <c r="AV9" s="8"/>
    </row>
    <row r="10" spans="1:48" ht="29" customHeight="1">
      <c r="A10" s="5" t="s">
        <v>1114</v>
      </c>
      <c r="B10" s="5"/>
      <c r="C10" s="5"/>
      <c r="D10" s="5"/>
      <c r="E10" s="5"/>
      <c r="F10" s="5"/>
      <c r="G10" s="5"/>
      <c r="H10" s="5"/>
      <c r="I10" s="5"/>
      <c r="J10" s="5"/>
      <c r="K10" s="5"/>
      <c r="L10" s="5"/>
      <c r="M10" s="5"/>
      <c r="N10" s="5" t="s">
        <v>1115</v>
      </c>
      <c r="O10" s="5"/>
      <c r="P10" s="5"/>
      <c r="Q10" s="5"/>
      <c r="R10" s="5"/>
      <c r="S10" s="5"/>
      <c r="T10" s="5"/>
      <c r="U10" s="5"/>
      <c r="V10" s="5"/>
      <c r="W10" s="5"/>
      <c r="X10" s="5"/>
      <c r="Y10" s="5"/>
      <c r="Z10" s="5"/>
      <c r="AA10" s="5"/>
      <c r="AB10" s="5"/>
      <c r="AC10" s="5"/>
      <c r="AD10" s="5"/>
      <c r="AE10" s="5" t="s">
        <v>1116</v>
      </c>
      <c r="AF10" s="5"/>
      <c r="AG10" s="5"/>
      <c r="AH10" s="5"/>
      <c r="AI10" s="5"/>
      <c r="AJ10" s="5"/>
      <c r="AK10" s="5"/>
      <c r="AL10" s="5"/>
      <c r="AM10" s="5"/>
      <c r="AN10" s="5"/>
      <c r="AO10" s="5"/>
      <c r="AP10" s="5"/>
      <c r="AQ10" s="5"/>
      <c r="AR10" s="5"/>
      <c r="AS10" s="5"/>
      <c r="AT10" s="5"/>
      <c r="AU10" s="5"/>
      <c r="AV10" s="5"/>
    </row>
    <row r="11" spans="1:48" ht="46" customHeight="1">
      <c r="A11" s="8" t="s">
        <v>1117</v>
      </c>
      <c r="B11" s="8"/>
      <c r="C11" s="8"/>
      <c r="D11" s="8"/>
      <c r="E11" s="8"/>
      <c r="F11" s="8"/>
      <c r="G11" s="8"/>
      <c r="H11" s="8"/>
      <c r="I11" s="8"/>
      <c r="J11" s="8"/>
      <c r="K11" s="8"/>
      <c r="L11" s="8"/>
      <c r="M11" s="8"/>
      <c r="N11" s="8" t="s">
        <v>1118</v>
      </c>
      <c r="O11" s="8"/>
      <c r="P11" s="8"/>
      <c r="Q11" s="8"/>
      <c r="R11" s="8"/>
      <c r="S11" s="8"/>
      <c r="T11" s="8"/>
      <c r="U11" s="8"/>
      <c r="V11" s="8"/>
      <c r="W11" s="8"/>
      <c r="X11" s="8"/>
      <c r="Y11" s="8"/>
      <c r="Z11" s="8"/>
      <c r="AA11" s="8"/>
      <c r="AB11" s="8"/>
      <c r="AC11" s="8"/>
      <c r="AD11" s="8"/>
      <c r="AE11" s="8" t="s">
        <v>1119</v>
      </c>
      <c r="AF11" s="8"/>
      <c r="AG11" s="8"/>
      <c r="AH11" s="8"/>
      <c r="AI11" s="8"/>
      <c r="AJ11" s="8"/>
      <c r="AK11" s="8"/>
      <c r="AL11" s="8"/>
      <c r="AM11" s="8"/>
      <c r="AN11" s="8"/>
      <c r="AO11" s="8"/>
      <c r="AP11" s="8"/>
      <c r="AQ11" s="8"/>
      <c r="AR11" s="8"/>
      <c r="AS11" s="8"/>
      <c r="AT11" s="8"/>
      <c r="AU11" s="8"/>
      <c r="AV11" s="8"/>
    </row>
    <row r="12" spans="1:48" ht="29" customHeight="1">
      <c r="A12" s="5" t="s">
        <v>1120</v>
      </c>
      <c r="B12" s="5"/>
      <c r="C12" s="5"/>
      <c r="D12" s="5"/>
      <c r="E12" s="5"/>
      <c r="F12" s="5"/>
      <c r="G12" s="5"/>
      <c r="H12" s="5"/>
      <c r="I12" s="5"/>
      <c r="J12" s="5"/>
      <c r="K12" s="5"/>
      <c r="L12" s="5"/>
      <c r="M12" s="5"/>
      <c r="N12" s="5" t="s">
        <v>1121</v>
      </c>
      <c r="O12" s="5"/>
      <c r="P12" s="5"/>
      <c r="Q12" s="5"/>
      <c r="R12" s="5"/>
      <c r="S12" s="5"/>
      <c r="T12" s="5"/>
      <c r="U12" s="5"/>
      <c r="V12" s="5"/>
      <c r="W12" s="5"/>
      <c r="X12" s="5"/>
      <c r="Y12" s="5"/>
      <c r="Z12" s="5"/>
      <c r="AA12" s="5"/>
      <c r="AB12" s="5"/>
      <c r="AC12" s="5"/>
      <c r="AD12" s="5"/>
      <c r="AE12" s="5" t="s">
        <v>1122</v>
      </c>
      <c r="AF12" s="5"/>
      <c r="AG12" s="5"/>
      <c r="AH12" s="5"/>
      <c r="AI12" s="5"/>
      <c r="AJ12" s="5"/>
      <c r="AK12" s="5"/>
      <c r="AL12" s="5"/>
      <c r="AM12" s="5"/>
      <c r="AN12" s="5"/>
      <c r="AO12" s="5"/>
      <c r="AP12" s="5"/>
      <c r="AQ12" s="5"/>
      <c r="AR12" s="5"/>
      <c r="AS12" s="5"/>
      <c r="AT12" s="5"/>
      <c r="AU12" s="5"/>
      <c r="AV12" s="5"/>
    </row>
    <row r="13" spans="1:48" ht="29" customHeight="1">
      <c r="A13" s="8" t="s">
        <v>1123</v>
      </c>
      <c r="B13" s="8"/>
      <c r="C13" s="8"/>
      <c r="D13" s="8"/>
      <c r="E13" s="8"/>
      <c r="F13" s="8"/>
      <c r="G13" s="8"/>
      <c r="H13" s="8"/>
      <c r="I13" s="8"/>
      <c r="J13" s="8"/>
      <c r="K13" s="8"/>
      <c r="L13" s="8"/>
      <c r="M13" s="8"/>
      <c r="N13" s="8" t="s">
        <v>1124</v>
      </c>
      <c r="O13" s="8"/>
      <c r="P13" s="8"/>
      <c r="Q13" s="8"/>
      <c r="R13" s="8"/>
      <c r="S13" s="8"/>
      <c r="T13" s="8"/>
      <c r="U13" s="8"/>
      <c r="V13" s="8"/>
      <c r="W13" s="8"/>
      <c r="X13" s="8"/>
      <c r="Y13" s="8"/>
      <c r="Z13" s="8"/>
      <c r="AA13" s="8"/>
      <c r="AB13" s="8"/>
      <c r="AC13" s="8"/>
      <c r="AD13" s="8"/>
      <c r="AE13" s="8" t="s">
        <v>1125</v>
      </c>
      <c r="AF13" s="8"/>
      <c r="AG13" s="8"/>
      <c r="AH13" s="8"/>
      <c r="AI13" s="8"/>
      <c r="AJ13" s="8"/>
      <c r="AK13" s="8"/>
      <c r="AL13" s="8"/>
      <c r="AM13" s="8"/>
      <c r="AN13" s="8"/>
      <c r="AO13" s="8"/>
      <c r="AP13" s="8"/>
      <c r="AQ13" s="8"/>
      <c r="AR13" s="8"/>
      <c r="AS13" s="8"/>
      <c r="AT13" s="8"/>
      <c r="AU13" s="8"/>
      <c r="AV13" s="8"/>
    </row>
    <row r="14" spans="1:48" ht="46" customHeight="1">
      <c r="A14" s="5" t="s">
        <v>1126</v>
      </c>
      <c r="B14" s="5"/>
      <c r="C14" s="5"/>
      <c r="D14" s="5"/>
      <c r="E14" s="5"/>
      <c r="F14" s="5"/>
      <c r="G14" s="5"/>
      <c r="H14" s="5"/>
      <c r="I14" s="5"/>
      <c r="J14" s="5"/>
      <c r="K14" s="5"/>
      <c r="L14" s="5"/>
      <c r="M14" s="5"/>
      <c r="N14" s="5" t="s">
        <v>1127</v>
      </c>
      <c r="O14" s="5"/>
      <c r="P14" s="5"/>
      <c r="Q14" s="5"/>
      <c r="R14" s="5"/>
      <c r="S14" s="5"/>
      <c r="T14" s="5"/>
      <c r="U14" s="5"/>
      <c r="V14" s="5"/>
      <c r="W14" s="5"/>
      <c r="X14" s="5"/>
      <c r="Y14" s="5"/>
      <c r="Z14" s="5"/>
      <c r="AA14" s="5"/>
      <c r="AB14" s="5"/>
      <c r="AC14" s="5"/>
      <c r="AD14" s="5"/>
      <c r="AE14" s="5" t="s">
        <v>1128</v>
      </c>
      <c r="AF14" s="5"/>
      <c r="AG14" s="5"/>
      <c r="AH14" s="5"/>
      <c r="AI14" s="5"/>
      <c r="AJ14" s="5"/>
      <c r="AK14" s="5"/>
      <c r="AL14" s="5"/>
      <c r="AM14" s="5"/>
      <c r="AN14" s="5"/>
      <c r="AO14" s="5"/>
      <c r="AP14" s="5"/>
      <c r="AQ14" s="5"/>
      <c r="AR14" s="5"/>
      <c r="AS14" s="5"/>
      <c r="AT14" s="5"/>
      <c r="AU14" s="5"/>
      <c r="AV14" s="5"/>
    </row>
    <row r="15" spans="1:48" ht="21" customHeight="1">
      <c r="A15" s="9" t="s">
        <v>1129</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ht="10" customHeight="1"/>
    <row r="17" spans="1:48" ht="29" customHeight="1">
      <c r="A17" s="4" t="s">
        <v>1130</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row>
    <row r="18" spans="1:48" ht="19" customHeight="1">
      <c r="A18" s="10" t="s">
        <v>1131</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row>
    <row r="19" spans="1:48" ht="19" customHeight="1">
      <c r="A19" s="10" t="s">
        <v>1132</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row>
    <row r="20" spans="1:48" ht="19" customHeight="1">
      <c r="A20" s="10" t="s">
        <v>1133</v>
      </c>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row>
    <row r="21" spans="1:48" ht="19" customHeight="1">
      <c r="A21" s="10" t="s">
        <v>1134</v>
      </c>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19" customHeight="1">
      <c r="A22" s="10" t="s">
        <v>1135</v>
      </c>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19" customHeight="1">
      <c r="A23" s="10" t="s">
        <v>1136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row>
    <row r="24" spans="1:48" ht="19" customHeight="1">
      <c r="A24" s="10" t="s">
        <v>1137</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row>
    <row r="25" spans="1:48" ht="9" customHeight="1"/>
    <row r="26" spans="1:48" ht="29" customHeight="1">
      <c r="A26" s="4" t="s">
        <v>1138</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ht="19" customHeight="1">
      <c r="A27" s="10" t="s">
        <v>1139</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19" customHeight="1">
      <c r="A28" s="10" t="s">
        <v>1140</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row>
    <row r="29" spans="1:48" ht="21" customHeight="1">
      <c r="A29" s="9" t="s">
        <v>1141</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row>
    <row r="30" spans="1:48" ht="9" customHeight="1"/>
    <row r="31" spans="1:48" ht="63" customHeight="1">
      <c r="A31" s="6" t="s">
        <v>1142</v>
      </c>
      <c r="B31" s="6"/>
      <c r="C31" s="6"/>
      <c r="D31" s="6"/>
      <c r="E31" s="6"/>
      <c r="F31" s="6"/>
      <c r="G31" s="6"/>
      <c r="H31" s="6"/>
      <c r="I31" s="6"/>
      <c r="J31" s="6"/>
      <c r="K31" s="5" t="s">
        <v>1143</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ht="8" customHeight="1"/>
    <row r="33" spans="1:48" ht="29" customHeight="1">
      <c r="A33" s="4" t="s">
        <v>1144</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ht="30" customHeight="1">
      <c r="A34" s="7" t="s">
        <v>1145</v>
      </c>
      <c r="B34" s="7"/>
      <c r="C34" s="7"/>
      <c r="D34" s="7"/>
      <c r="E34" s="7"/>
      <c r="F34" s="7"/>
      <c r="G34" s="7"/>
      <c r="H34" s="7"/>
      <c r="I34" s="7"/>
      <c r="J34" s="7"/>
      <c r="K34" s="7"/>
      <c r="L34" s="7"/>
      <c r="M34" s="7"/>
      <c r="N34" s="7"/>
      <c r="O34" s="7"/>
      <c r="P34" s="7" t="s">
        <v>1146</v>
      </c>
      <c r="Q34" s="7"/>
      <c r="R34" s="7"/>
      <c r="S34" s="7"/>
      <c r="T34" s="7"/>
      <c r="U34" s="7"/>
      <c r="V34" s="7"/>
      <c r="W34" s="7"/>
      <c r="X34" s="7"/>
      <c r="Y34" s="7"/>
      <c r="Z34" s="7"/>
      <c r="AA34" s="7"/>
      <c r="AB34" s="7"/>
      <c r="AC34" s="7"/>
      <c r="AD34" s="7"/>
      <c r="AE34" s="7"/>
      <c r="AF34" s="7"/>
      <c r="AG34" s="7"/>
      <c r="AH34" s="7"/>
      <c r="AI34" s="7"/>
      <c r="AJ34" s="7"/>
      <c r="AK34" s="7"/>
      <c r="AL34" s="7"/>
      <c r="AM34" s="7"/>
      <c r="AN34" s="7"/>
      <c r="AO34" s="7" t="s">
        <v>1147</v>
      </c>
      <c r="AP34" s="7"/>
      <c r="AQ34" s="7"/>
      <c r="AR34" s="7"/>
      <c r="AS34" s="7"/>
      <c r="AT34" s="7"/>
      <c r="AU34" s="7"/>
      <c r="AV34" s="7"/>
    </row>
    <row r="35" spans="1:48" ht="29" customHeight="1">
      <c r="A35" s="5" t="s">
        <v>1148</v>
      </c>
      <c r="B35" s="5"/>
      <c r="C35" s="5"/>
      <c r="D35" s="5"/>
      <c r="E35" s="5"/>
      <c r="F35" s="5"/>
      <c r="G35" s="5"/>
      <c r="H35" s="5"/>
      <c r="I35" s="5"/>
      <c r="J35" s="5"/>
      <c r="K35" s="5"/>
      <c r="L35" s="5"/>
      <c r="M35" s="5"/>
      <c r="N35" s="5"/>
      <c r="O35" s="5"/>
      <c r="P35" s="5" t="s">
        <v>1149</v>
      </c>
      <c r="Q35" s="5"/>
      <c r="R35" s="5"/>
      <c r="S35" s="5"/>
      <c r="T35" s="5"/>
      <c r="U35" s="5"/>
      <c r="V35" s="5"/>
      <c r="W35" s="5"/>
      <c r="X35" s="5"/>
      <c r="Y35" s="5"/>
      <c r="Z35" s="5"/>
      <c r="AA35" s="5"/>
      <c r="AB35" s="5"/>
      <c r="AC35" s="5"/>
      <c r="AD35" s="5"/>
      <c r="AE35" s="5"/>
      <c r="AF35" s="5"/>
      <c r="AG35" s="5"/>
      <c r="AH35" s="5"/>
      <c r="AI35" s="5"/>
      <c r="AJ35" s="5"/>
      <c r="AK35" s="5"/>
      <c r="AL35" s="5"/>
      <c r="AM35" s="5"/>
      <c r="AN35" s="5"/>
      <c r="AO35" s="5" t="s">
        <v>1150</v>
      </c>
      <c r="AP35" s="5"/>
      <c r="AQ35" s="5"/>
      <c r="AR35" s="5"/>
      <c r="AS35" s="5"/>
      <c r="AT35" s="5"/>
      <c r="AU35" s="5"/>
      <c r="AV35" s="5"/>
    </row>
    <row r="36" spans="1:48" ht="29" customHeight="1">
      <c r="A36" s="8" t="s">
        <v>1151</v>
      </c>
      <c r="B36" s="8"/>
      <c r="C36" s="8"/>
      <c r="D36" s="8"/>
      <c r="E36" s="8"/>
      <c r="F36" s="8"/>
      <c r="G36" s="8"/>
      <c r="H36" s="8"/>
      <c r="I36" s="8"/>
      <c r="J36" s="8"/>
      <c r="K36" s="8"/>
      <c r="L36" s="8"/>
      <c r="M36" s="8"/>
      <c r="N36" s="8"/>
      <c r="O36" s="8"/>
      <c r="P36" s="8" t="s">
        <v>1152</v>
      </c>
      <c r="Q36" s="8"/>
      <c r="R36" s="8"/>
      <c r="S36" s="8"/>
      <c r="T36" s="8"/>
      <c r="U36" s="8"/>
      <c r="V36" s="8"/>
      <c r="W36" s="8"/>
      <c r="X36" s="8"/>
      <c r="Y36" s="8"/>
      <c r="Z36" s="8"/>
      <c r="AA36" s="8"/>
      <c r="AB36" s="8"/>
      <c r="AC36" s="8"/>
      <c r="AD36" s="8"/>
      <c r="AE36" s="8"/>
      <c r="AF36" s="8"/>
      <c r="AG36" s="8"/>
      <c r="AH36" s="8"/>
      <c r="AI36" s="8"/>
      <c r="AJ36" s="8"/>
      <c r="AK36" s="8"/>
      <c r="AL36" s="8"/>
      <c r="AM36" s="8"/>
      <c r="AN36" s="8"/>
      <c r="AO36" s="8" t="s">
        <v>1153</v>
      </c>
      <c r="AP36" s="8"/>
      <c r="AQ36" s="8"/>
      <c r="AR36" s="8"/>
      <c r="AS36" s="8"/>
      <c r="AT36" s="8"/>
      <c r="AU36" s="8"/>
      <c r="AV36" s="8"/>
    </row>
    <row r="37" spans="1:48" ht="29" customHeight="1">
      <c r="A37" s="5" t="s">
        <v>1154</v>
      </c>
      <c r="B37" s="5"/>
      <c r="C37" s="5"/>
      <c r="D37" s="5"/>
      <c r="E37" s="5"/>
      <c r="F37" s="5"/>
      <c r="G37" s="5"/>
      <c r="H37" s="5"/>
      <c r="I37" s="5"/>
      <c r="J37" s="5"/>
      <c r="K37" s="5"/>
      <c r="L37" s="5"/>
      <c r="M37" s="5"/>
      <c r="N37" s="5"/>
      <c r="O37" s="5"/>
      <c r="P37" s="5" t="s">
        <v>1155</v>
      </c>
      <c r="Q37" s="5"/>
      <c r="R37" s="5"/>
      <c r="S37" s="5"/>
      <c r="T37" s="5"/>
      <c r="U37" s="5"/>
      <c r="V37" s="5"/>
      <c r="W37" s="5"/>
      <c r="X37" s="5"/>
      <c r="Y37" s="5"/>
      <c r="Z37" s="5"/>
      <c r="AA37" s="5"/>
      <c r="AB37" s="5"/>
      <c r="AC37" s="5"/>
      <c r="AD37" s="5"/>
      <c r="AE37" s="5"/>
      <c r="AF37" s="5"/>
      <c r="AG37" s="5"/>
      <c r="AH37" s="5"/>
      <c r="AI37" s="5"/>
      <c r="AJ37" s="5"/>
      <c r="AK37" s="5"/>
      <c r="AL37" s="5"/>
      <c r="AM37" s="5"/>
      <c r="AN37" s="5"/>
      <c r="AO37" s="5" t="s">
        <v>498</v>
      </c>
      <c r="AP37" s="5"/>
      <c r="AQ37" s="5"/>
      <c r="AR37" s="5"/>
      <c r="AS37" s="5"/>
      <c r="AT37" s="5"/>
      <c r="AU37" s="5"/>
      <c r="AV37" s="5"/>
    </row>
    <row r="38" spans="1:48" ht="29" customHeight="1">
      <c r="A38" s="8" t="s">
        <v>1156</v>
      </c>
      <c r="B38" s="8"/>
      <c r="C38" s="8"/>
      <c r="D38" s="8"/>
      <c r="E38" s="8"/>
      <c r="F38" s="8"/>
      <c r="G38" s="8"/>
      <c r="H38" s="8"/>
      <c r="I38" s="8"/>
      <c r="J38" s="8"/>
      <c r="K38" s="8"/>
      <c r="L38" s="8"/>
      <c r="M38" s="8"/>
      <c r="N38" s="8"/>
      <c r="O38" s="8"/>
      <c r="P38" s="8" t="s">
        <v>1157</v>
      </c>
      <c r="Q38" s="8"/>
      <c r="R38" s="8"/>
      <c r="S38" s="8"/>
      <c r="T38" s="8"/>
      <c r="U38" s="8"/>
      <c r="V38" s="8"/>
      <c r="W38" s="8"/>
      <c r="X38" s="8"/>
      <c r="Y38" s="8"/>
      <c r="Z38" s="8"/>
      <c r="AA38" s="8"/>
      <c r="AB38" s="8"/>
      <c r="AC38" s="8"/>
      <c r="AD38" s="8"/>
      <c r="AE38" s="8"/>
      <c r="AF38" s="8"/>
      <c r="AG38" s="8"/>
      <c r="AH38" s="8"/>
      <c r="AI38" s="8"/>
      <c r="AJ38" s="8"/>
      <c r="AK38" s="8"/>
      <c r="AL38" s="8"/>
      <c r="AM38" s="8"/>
      <c r="AN38" s="8"/>
      <c r="AO38" s="8" t="s">
        <v>1158</v>
      </c>
      <c r="AP38" s="8"/>
      <c r="AQ38" s="8"/>
      <c r="AR38" s="8"/>
      <c r="AS38" s="8"/>
      <c r="AT38" s="8"/>
      <c r="AU38" s="8"/>
      <c r="AV38" s="8"/>
    </row>
    <row r="39" spans="1:48" ht="29" customHeight="1">
      <c r="A39" s="5" t="s">
        <v>1159</v>
      </c>
      <c r="B39" s="5"/>
      <c r="C39" s="5"/>
      <c r="D39" s="5"/>
      <c r="E39" s="5"/>
      <c r="F39" s="5"/>
      <c r="G39" s="5"/>
      <c r="H39" s="5"/>
      <c r="I39" s="5"/>
      <c r="J39" s="5"/>
      <c r="K39" s="5"/>
      <c r="L39" s="5"/>
      <c r="M39" s="5"/>
      <c r="N39" s="5"/>
      <c r="O39" s="5"/>
      <c r="P39" s="5" t="s">
        <v>1160</v>
      </c>
      <c r="Q39" s="5"/>
      <c r="R39" s="5"/>
      <c r="S39" s="5"/>
      <c r="T39" s="5"/>
      <c r="U39" s="5"/>
      <c r="V39" s="5"/>
      <c r="W39" s="5"/>
      <c r="X39" s="5"/>
      <c r="Y39" s="5"/>
      <c r="Z39" s="5"/>
      <c r="AA39" s="5"/>
      <c r="AB39" s="5"/>
      <c r="AC39" s="5"/>
      <c r="AD39" s="5"/>
      <c r="AE39" s="5"/>
      <c r="AF39" s="5"/>
      <c r="AG39" s="5"/>
      <c r="AH39" s="5"/>
      <c r="AI39" s="5"/>
      <c r="AJ39" s="5"/>
      <c r="AK39" s="5"/>
      <c r="AL39" s="5"/>
      <c r="AM39" s="5"/>
      <c r="AN39" s="5"/>
      <c r="AO39" s="5" t="s">
        <v>1161</v>
      </c>
      <c r="AP39" s="5"/>
      <c r="AQ39" s="5"/>
      <c r="AR39" s="5"/>
      <c r="AS39" s="5"/>
      <c r="AT39" s="5"/>
      <c r="AU39" s="5"/>
      <c r="AV39" s="5"/>
    </row>
    <row r="40" spans="1:48" ht="29" customHeight="1">
      <c r="A40" s="8" t="s">
        <v>1162</v>
      </c>
      <c r="B40" s="8"/>
      <c r="C40" s="8"/>
      <c r="D40" s="8"/>
      <c r="E40" s="8"/>
      <c r="F40" s="8"/>
      <c r="G40" s="8"/>
      <c r="H40" s="8"/>
      <c r="I40" s="8"/>
      <c r="J40" s="8"/>
      <c r="K40" s="8"/>
      <c r="L40" s="8"/>
      <c r="M40" s="8"/>
      <c r="N40" s="8"/>
      <c r="O40" s="8"/>
      <c r="P40" s="8" t="s">
        <v>1163</v>
      </c>
      <c r="Q40" s="8"/>
      <c r="R40" s="8"/>
      <c r="S40" s="8"/>
      <c r="T40" s="8"/>
      <c r="U40" s="8"/>
      <c r="V40" s="8"/>
      <c r="W40" s="8"/>
      <c r="X40" s="8"/>
      <c r="Y40" s="8"/>
      <c r="Z40" s="8"/>
      <c r="AA40" s="8"/>
      <c r="AB40" s="8"/>
      <c r="AC40" s="8"/>
      <c r="AD40" s="8"/>
      <c r="AE40" s="8"/>
      <c r="AF40" s="8"/>
      <c r="AG40" s="8"/>
      <c r="AH40" s="8"/>
      <c r="AI40" s="8"/>
      <c r="AJ40" s="8"/>
      <c r="AK40" s="8"/>
      <c r="AL40" s="8"/>
      <c r="AM40" s="8"/>
      <c r="AN40" s="8"/>
      <c r="AO40" s="8" t="s">
        <v>1153</v>
      </c>
      <c r="AP40" s="8"/>
      <c r="AQ40" s="8"/>
      <c r="AR40" s="8"/>
      <c r="AS40" s="8"/>
      <c r="AT40" s="8"/>
      <c r="AU40" s="8"/>
      <c r="AV40" s="8"/>
    </row>
    <row r="41" spans="1:48" ht="29" customHeight="1">
      <c r="A41" s="5" t="s">
        <v>1164</v>
      </c>
      <c r="B41" s="5"/>
      <c r="C41" s="5"/>
      <c r="D41" s="5"/>
      <c r="E41" s="5"/>
      <c r="F41" s="5"/>
      <c r="G41" s="5"/>
      <c r="H41" s="5"/>
      <c r="I41" s="5"/>
      <c r="J41" s="5"/>
      <c r="K41" s="5"/>
      <c r="L41" s="5"/>
      <c r="M41" s="5"/>
      <c r="N41" s="5"/>
      <c r="O41" s="5"/>
      <c r="P41" s="5" t="s">
        <v>1165</v>
      </c>
      <c r="Q41" s="5"/>
      <c r="R41" s="5"/>
      <c r="S41" s="5"/>
      <c r="T41" s="5"/>
      <c r="U41" s="5"/>
      <c r="V41" s="5"/>
      <c r="W41" s="5"/>
      <c r="X41" s="5"/>
      <c r="Y41" s="5"/>
      <c r="Z41" s="5"/>
      <c r="AA41" s="5"/>
      <c r="AB41" s="5"/>
      <c r="AC41" s="5"/>
      <c r="AD41" s="5"/>
      <c r="AE41" s="5"/>
      <c r="AF41" s="5"/>
      <c r="AG41" s="5"/>
      <c r="AH41" s="5"/>
      <c r="AI41" s="5"/>
      <c r="AJ41" s="5"/>
      <c r="AK41" s="5"/>
      <c r="AL41" s="5"/>
      <c r="AM41" s="5"/>
      <c r="AN41" s="5"/>
      <c r="AO41" s="5" t="s">
        <v>1153</v>
      </c>
      <c r="AP41" s="5"/>
      <c r="AQ41" s="5"/>
      <c r="AR41" s="5"/>
      <c r="AS41" s="5"/>
      <c r="AT41" s="5"/>
      <c r="AU41" s="5"/>
      <c r="AV41" s="5"/>
    </row>
    <row r="42" spans="1:48" ht="29" customHeight="1">
      <c r="A42" s="8" t="s">
        <v>1166</v>
      </c>
      <c r="B42" s="8"/>
      <c r="C42" s="8"/>
      <c r="D42" s="8"/>
      <c r="E42" s="8"/>
      <c r="F42" s="8"/>
      <c r="G42" s="8"/>
      <c r="H42" s="8"/>
      <c r="I42" s="8"/>
      <c r="J42" s="8"/>
      <c r="K42" s="8"/>
      <c r="L42" s="8"/>
      <c r="M42" s="8"/>
      <c r="N42" s="8"/>
      <c r="O42" s="8"/>
      <c r="P42" s="8" t="s">
        <v>1167</v>
      </c>
      <c r="Q42" s="8"/>
      <c r="R42" s="8"/>
      <c r="S42" s="8"/>
      <c r="T42" s="8"/>
      <c r="U42" s="8"/>
      <c r="V42" s="8"/>
      <c r="W42" s="8"/>
      <c r="X42" s="8"/>
      <c r="Y42" s="8"/>
      <c r="Z42" s="8"/>
      <c r="AA42" s="8"/>
      <c r="AB42" s="8"/>
      <c r="AC42" s="8"/>
      <c r="AD42" s="8"/>
      <c r="AE42" s="8"/>
      <c r="AF42" s="8"/>
      <c r="AG42" s="8"/>
      <c r="AH42" s="8"/>
      <c r="AI42" s="8"/>
      <c r="AJ42" s="8"/>
      <c r="AK42" s="8"/>
      <c r="AL42" s="8"/>
      <c r="AM42" s="8"/>
      <c r="AN42" s="8"/>
      <c r="AO42" s="8" t="s">
        <v>1153</v>
      </c>
      <c r="AP42" s="8"/>
      <c r="AQ42" s="8"/>
      <c r="AR42" s="8"/>
      <c r="AS42" s="8"/>
      <c r="AT42" s="8"/>
      <c r="AU42" s="8"/>
      <c r="AV42" s="8"/>
    </row>
    <row r="43" spans="1:48" ht="29" customHeight="1">
      <c r="A43" s="5" t="s">
        <v>1168</v>
      </c>
      <c r="B43" s="5"/>
      <c r="C43" s="5"/>
      <c r="D43" s="5"/>
      <c r="E43" s="5"/>
      <c r="F43" s="5"/>
      <c r="G43" s="5"/>
      <c r="H43" s="5"/>
      <c r="I43" s="5"/>
      <c r="J43" s="5"/>
      <c r="K43" s="5"/>
      <c r="L43" s="5"/>
      <c r="M43" s="5"/>
      <c r="N43" s="5"/>
      <c r="O43" s="5"/>
      <c r="P43" s="5" t="s">
        <v>1169</v>
      </c>
      <c r="Q43" s="5"/>
      <c r="R43" s="5"/>
      <c r="S43" s="5"/>
      <c r="T43" s="5"/>
      <c r="U43" s="5"/>
      <c r="V43" s="5"/>
      <c r="W43" s="5"/>
      <c r="X43" s="5"/>
      <c r="Y43" s="5"/>
      <c r="Z43" s="5"/>
      <c r="AA43" s="5"/>
      <c r="AB43" s="5"/>
      <c r="AC43" s="5"/>
      <c r="AD43" s="5"/>
      <c r="AE43" s="5"/>
      <c r="AF43" s="5"/>
      <c r="AG43" s="5"/>
      <c r="AH43" s="5"/>
      <c r="AI43" s="5"/>
      <c r="AJ43" s="5"/>
      <c r="AK43" s="5"/>
      <c r="AL43" s="5"/>
      <c r="AM43" s="5"/>
      <c r="AN43" s="5"/>
      <c r="AO43" s="5" t="s">
        <v>1170</v>
      </c>
      <c r="AP43" s="5"/>
      <c r="AQ43" s="5"/>
      <c r="AR43" s="5"/>
      <c r="AS43" s="5"/>
      <c r="AT43" s="5"/>
      <c r="AU43" s="5"/>
      <c r="AV43" s="5"/>
    </row>
    <row r="44" spans="1:48" ht="29" customHeight="1">
      <c r="A44" s="8" t="s">
        <v>1171</v>
      </c>
      <c r="B44" s="8"/>
      <c r="C44" s="8"/>
      <c r="D44" s="8"/>
      <c r="E44" s="8"/>
      <c r="F44" s="8"/>
      <c r="G44" s="8"/>
      <c r="H44" s="8"/>
      <c r="I44" s="8"/>
      <c r="J44" s="8"/>
      <c r="K44" s="8"/>
      <c r="L44" s="8"/>
      <c r="M44" s="8"/>
      <c r="N44" s="8"/>
      <c r="O44" s="8"/>
      <c r="P44" s="8" t="s">
        <v>1172</v>
      </c>
      <c r="Q44" s="8"/>
      <c r="R44" s="8"/>
      <c r="S44" s="8"/>
      <c r="T44" s="8"/>
      <c r="U44" s="8"/>
      <c r="V44" s="8"/>
      <c r="W44" s="8"/>
      <c r="X44" s="8"/>
      <c r="Y44" s="8"/>
      <c r="Z44" s="8"/>
      <c r="AA44" s="8"/>
      <c r="AB44" s="8"/>
      <c r="AC44" s="8"/>
      <c r="AD44" s="8"/>
      <c r="AE44" s="8"/>
      <c r="AF44" s="8"/>
      <c r="AG44" s="8"/>
      <c r="AH44" s="8"/>
      <c r="AI44" s="8"/>
      <c r="AJ44" s="8"/>
      <c r="AK44" s="8"/>
      <c r="AL44" s="8"/>
      <c r="AM44" s="8"/>
      <c r="AN44" s="8"/>
      <c r="AO44" s="8" t="s">
        <v>1153</v>
      </c>
      <c r="AP44" s="8"/>
      <c r="AQ44" s="8"/>
      <c r="AR44" s="8"/>
      <c r="AS44" s="8"/>
      <c r="AT44" s="8"/>
      <c r="AU44" s="8"/>
      <c r="AV44" s="8"/>
    </row>
    <row r="45" spans="1:48" ht="10" customHeight="1"/>
    <row r="46" spans="1:48" ht="63" customHeight="1">
      <c r="A46" s="6" t="s">
        <v>1173</v>
      </c>
      <c r="B46" s="6"/>
      <c r="C46" s="6"/>
      <c r="D46" s="6"/>
      <c r="E46" s="6"/>
      <c r="F46" s="6"/>
      <c r="G46" s="6"/>
      <c r="H46" s="6"/>
      <c r="I46" s="6"/>
      <c r="J46" s="6"/>
      <c r="K46" s="5" t="s">
        <v>1174</v>
      </c>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ht="8" customHeight="1"/>
    <row r="48" spans="1:48" ht="63" customHeight="1">
      <c r="A48" s="6" t="s">
        <v>1175</v>
      </c>
      <c r="B48" s="6"/>
      <c r="C48" s="6"/>
      <c r="D48" s="6"/>
      <c r="E48" s="6"/>
      <c r="F48" s="6"/>
      <c r="G48" s="6"/>
      <c r="H48" s="6"/>
      <c r="I48" s="6"/>
      <c r="J48" s="6"/>
      <c r="K48" s="5" t="s">
        <v>1176</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ht="8" customHeight="1"/>
  </sheetData>
  <mergeCells count="83">
    <mergeCell ref="A1:AV1"/>
    <mergeCell ref="A2:AV2"/>
    <mergeCell ref="A3:AV3"/>
    <mergeCell ref="A4:X4"/>
    <mergeCell ref="Y4:AV4"/>
    <mergeCell ref="A6:AV6"/>
    <mergeCell ref="A7:M7"/>
    <mergeCell ref="N7:AD7"/>
    <mergeCell ref="AE7:AV7"/>
    <mergeCell ref="A8:M8"/>
    <mergeCell ref="N8:AD8"/>
    <mergeCell ref="AE8:AV8"/>
    <mergeCell ref="A9:M9"/>
    <mergeCell ref="N9:AD9"/>
    <mergeCell ref="AE9:AV9"/>
    <mergeCell ref="A10:M10"/>
    <mergeCell ref="N10:AD10"/>
    <mergeCell ref="AE10:AV10"/>
    <mergeCell ref="A11:M11"/>
    <mergeCell ref="N11:AD11"/>
    <mergeCell ref="AE11:AV11"/>
    <mergeCell ref="A12:M12"/>
    <mergeCell ref="N12:AD12"/>
    <mergeCell ref="AE12:AV12"/>
    <mergeCell ref="A13:M13"/>
    <mergeCell ref="N13:AD13"/>
    <mergeCell ref="AE13:AV13"/>
    <mergeCell ref="A14:M14"/>
    <mergeCell ref="N14:AD14"/>
    <mergeCell ref="AE14:AV14"/>
    <mergeCell ref="A15:AV15"/>
    <mergeCell ref="A17:AV17"/>
    <mergeCell ref="A18:AV18"/>
    <mergeCell ref="A19:AV19"/>
    <mergeCell ref="A20:AV20"/>
    <mergeCell ref="A21:AV21"/>
    <mergeCell ref="A22:AV22"/>
    <mergeCell ref="A23:AV23"/>
    <mergeCell ref="A24:AV24"/>
    <mergeCell ref="A26:AV26"/>
    <mergeCell ref="A27:AV27"/>
    <mergeCell ref="A28:AV28"/>
    <mergeCell ref="A29:AV29"/>
    <mergeCell ref="A31:J31"/>
    <mergeCell ref="K31:AV31"/>
    <mergeCell ref="A33:AV33"/>
    <mergeCell ref="A34:O34"/>
    <mergeCell ref="P34:AN34"/>
    <mergeCell ref="AO34:AV34"/>
    <mergeCell ref="A35:O35"/>
    <mergeCell ref="P35:AN35"/>
    <mergeCell ref="AO35:AV35"/>
    <mergeCell ref="A36:O36"/>
    <mergeCell ref="P36:AN36"/>
    <mergeCell ref="AO36:AV36"/>
    <mergeCell ref="A37:O37"/>
    <mergeCell ref="P37:AN37"/>
    <mergeCell ref="AO37:AV37"/>
    <mergeCell ref="A38:O38"/>
    <mergeCell ref="P38:AN38"/>
    <mergeCell ref="AO38:AV38"/>
    <mergeCell ref="A39:O39"/>
    <mergeCell ref="P39:AN39"/>
    <mergeCell ref="AO39:AV39"/>
    <mergeCell ref="A40:O40"/>
    <mergeCell ref="P40:AN40"/>
    <mergeCell ref="AO40:AV40"/>
    <mergeCell ref="A41:O41"/>
    <mergeCell ref="P41:AN41"/>
    <mergeCell ref="AO41:AV41"/>
    <mergeCell ref="A42:O42"/>
    <mergeCell ref="P42:AN42"/>
    <mergeCell ref="AO42:AV42"/>
    <mergeCell ref="A43:O43"/>
    <mergeCell ref="P43:AN43"/>
    <mergeCell ref="AO43:AV43"/>
    <mergeCell ref="A44:O44"/>
    <mergeCell ref="P44:AN44"/>
    <mergeCell ref="AO44:AV44"/>
    <mergeCell ref="A46:J46"/>
    <mergeCell ref="K46:AV46"/>
    <mergeCell ref="A48:J48"/>
    <mergeCell ref="K48:AV48"/>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19.xml><?xml version="1.0" encoding="utf-8"?>
<worksheet xmlns="http://schemas.openxmlformats.org/spreadsheetml/2006/main" xmlns:r="http://schemas.openxmlformats.org/officeDocument/2006/relationships">
  <sheetPr>
    <tabColor rgb="FF777777"/>
    <pageSetUpPr fitToPage="1"/>
  </sheetPr>
  <dimension ref="A1:AV21"/>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1177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1178</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1179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1180</v>
      </c>
      <c r="B7" s="7"/>
      <c r="C7" s="7"/>
      <c r="D7" s="7"/>
      <c r="E7" s="7"/>
      <c r="F7" s="7"/>
      <c r="G7" s="7" t="s">
        <v>1181</v>
      </c>
      <c r="H7" s="7"/>
      <c r="I7" s="7"/>
      <c r="J7" s="7"/>
      <c r="K7" s="7"/>
      <c r="L7" s="7"/>
      <c r="M7" s="7"/>
      <c r="N7" s="7"/>
      <c r="O7" s="7"/>
      <c r="P7" s="7"/>
      <c r="Q7" s="7"/>
      <c r="R7" s="7" t="s">
        <v>1182</v>
      </c>
      <c r="S7" s="7"/>
      <c r="T7" s="7"/>
      <c r="U7" s="7"/>
      <c r="V7" s="7"/>
      <c r="W7" s="7"/>
      <c r="X7" s="7"/>
      <c r="Y7" s="7"/>
      <c r="Z7" s="7"/>
      <c r="AA7" s="7"/>
      <c r="AB7" s="7"/>
      <c r="AC7" s="7"/>
      <c r="AD7" s="7"/>
      <c r="AE7" s="7"/>
      <c r="AF7" s="7"/>
      <c r="AG7" s="7"/>
      <c r="AH7" s="7"/>
      <c r="AI7" s="7" t="s">
        <v>1183</v>
      </c>
      <c r="AJ7" s="7"/>
      <c r="AK7" s="7"/>
      <c r="AL7" s="7"/>
      <c r="AM7" s="7"/>
      <c r="AN7" s="7"/>
      <c r="AO7" s="7"/>
      <c r="AP7" s="7"/>
      <c r="AQ7" s="7"/>
      <c r="AR7" s="7"/>
      <c r="AS7" s="7"/>
      <c r="AT7" s="7"/>
      <c r="AU7" s="7"/>
      <c r="AV7" s="7"/>
    </row>
    <row r="8" spans="1:48" ht="29" customHeight="1">
      <c r="A8" s="5" t="s">
        <v>1184</v>
      </c>
      <c r="B8" s="5"/>
      <c r="C8" s="5"/>
      <c r="D8" s="5"/>
      <c r="E8" s="5"/>
      <c r="F8" s="5"/>
      <c r="G8" s="5" t="s">
        <v>1185</v>
      </c>
      <c r="H8" s="5"/>
      <c r="I8" s="5"/>
      <c r="J8" s="5"/>
      <c r="K8" s="5"/>
      <c r="L8" s="5"/>
      <c r="M8" s="5"/>
      <c r="N8" s="5"/>
      <c r="O8" s="5"/>
      <c r="P8" s="5"/>
      <c r="Q8" s="5"/>
      <c r="R8" s="5" t="s">
        <v>1186</v>
      </c>
      <c r="S8" s="5"/>
      <c r="T8" s="5"/>
      <c r="U8" s="5"/>
      <c r="V8" s="5"/>
      <c r="W8" s="5"/>
      <c r="X8" s="5"/>
      <c r="Y8" s="5"/>
      <c r="Z8" s="5"/>
      <c r="AA8" s="5"/>
      <c r="AB8" s="5"/>
      <c r="AC8" s="5"/>
      <c r="AD8" s="5"/>
      <c r="AE8" s="5"/>
      <c r="AF8" s="5"/>
      <c r="AG8" s="5"/>
      <c r="AH8" s="5"/>
      <c r="AI8" s="5" t="s">
        <v>1187</v>
      </c>
      <c r="AJ8" s="5"/>
      <c r="AK8" s="5"/>
      <c r="AL8" s="5"/>
      <c r="AM8" s="5"/>
      <c r="AN8" s="5"/>
      <c r="AO8" s="5"/>
      <c r="AP8" s="5"/>
      <c r="AQ8" s="5"/>
      <c r="AR8" s="5"/>
      <c r="AS8" s="5"/>
      <c r="AT8" s="5"/>
      <c r="AU8" s="5"/>
      <c r="AV8" s="5"/>
    </row>
    <row r="9" spans="1:48" ht="46" customHeight="1">
      <c r="A9" s="8" t="s">
        <v>1188</v>
      </c>
      <c r="B9" s="8"/>
      <c r="C9" s="8"/>
      <c r="D9" s="8"/>
      <c r="E9" s="8"/>
      <c r="F9" s="8"/>
      <c r="G9" s="8" t="s">
        <v>1189</v>
      </c>
      <c r="H9" s="8"/>
      <c r="I9" s="8"/>
      <c r="J9" s="8"/>
      <c r="K9" s="8"/>
      <c r="L9" s="8"/>
      <c r="M9" s="8"/>
      <c r="N9" s="8"/>
      <c r="O9" s="8"/>
      <c r="P9" s="8"/>
      <c r="Q9" s="8"/>
      <c r="R9" s="8" t="s">
        <v>1190</v>
      </c>
      <c r="S9" s="8"/>
      <c r="T9" s="8"/>
      <c r="U9" s="8"/>
      <c r="V9" s="8"/>
      <c r="W9" s="8"/>
      <c r="X9" s="8"/>
      <c r="Y9" s="8"/>
      <c r="Z9" s="8"/>
      <c r="AA9" s="8"/>
      <c r="AB9" s="8"/>
      <c r="AC9" s="8"/>
      <c r="AD9" s="8"/>
      <c r="AE9" s="8"/>
      <c r="AF9" s="8"/>
      <c r="AG9" s="8"/>
      <c r="AH9" s="8"/>
      <c r="AI9" s="8" t="s">
        <v>1191</v>
      </c>
      <c r="AJ9" s="8"/>
      <c r="AK9" s="8"/>
      <c r="AL9" s="8"/>
      <c r="AM9" s="8"/>
      <c r="AN9" s="8"/>
      <c r="AO9" s="8"/>
      <c r="AP9" s="8"/>
      <c r="AQ9" s="8"/>
      <c r="AR9" s="8"/>
      <c r="AS9" s="8"/>
      <c r="AT9" s="8"/>
      <c r="AU9" s="8"/>
      <c r="AV9" s="8"/>
    </row>
    <row r="10" spans="1:48" ht="46" customHeight="1">
      <c r="A10" s="5" t="s">
        <v>1192</v>
      </c>
      <c r="B10" s="5"/>
      <c r="C10" s="5"/>
      <c r="D10" s="5"/>
      <c r="E10" s="5"/>
      <c r="F10" s="5"/>
      <c r="G10" s="5" t="s">
        <v>1193</v>
      </c>
      <c r="H10" s="5"/>
      <c r="I10" s="5"/>
      <c r="J10" s="5"/>
      <c r="K10" s="5"/>
      <c r="L10" s="5"/>
      <c r="M10" s="5"/>
      <c r="N10" s="5"/>
      <c r="O10" s="5"/>
      <c r="P10" s="5"/>
      <c r="Q10" s="5"/>
      <c r="R10" s="5" t="s">
        <v>1194</v>
      </c>
      <c r="S10" s="5"/>
      <c r="T10" s="5"/>
      <c r="U10" s="5"/>
      <c r="V10" s="5"/>
      <c r="W10" s="5"/>
      <c r="X10" s="5"/>
      <c r="Y10" s="5"/>
      <c r="Z10" s="5"/>
      <c r="AA10" s="5"/>
      <c r="AB10" s="5"/>
      <c r="AC10" s="5"/>
      <c r="AD10" s="5"/>
      <c r="AE10" s="5"/>
      <c r="AF10" s="5"/>
      <c r="AG10" s="5"/>
      <c r="AH10" s="5"/>
      <c r="AI10" s="5" t="s">
        <v>1195</v>
      </c>
      <c r="AJ10" s="5"/>
      <c r="AK10" s="5"/>
      <c r="AL10" s="5"/>
      <c r="AM10" s="5"/>
      <c r="AN10" s="5"/>
      <c r="AO10" s="5"/>
      <c r="AP10" s="5"/>
      <c r="AQ10" s="5"/>
      <c r="AR10" s="5"/>
      <c r="AS10" s="5"/>
      <c r="AT10" s="5"/>
      <c r="AU10" s="5"/>
      <c r="AV10" s="5"/>
    </row>
    <row r="11" spans="1:48" ht="29" customHeight="1">
      <c r="A11" s="8" t="s">
        <v>1196</v>
      </c>
      <c r="B11" s="8"/>
      <c r="C11" s="8"/>
      <c r="D11" s="8"/>
      <c r="E11" s="8"/>
      <c r="F11" s="8"/>
      <c r="G11" s="8" t="s">
        <v>1197</v>
      </c>
      <c r="H11" s="8"/>
      <c r="I11" s="8"/>
      <c r="J11" s="8"/>
      <c r="K11" s="8"/>
      <c r="L11" s="8"/>
      <c r="M11" s="8"/>
      <c r="N11" s="8"/>
      <c r="O11" s="8"/>
      <c r="P11" s="8"/>
      <c r="Q11" s="8"/>
      <c r="R11" s="8" t="s">
        <v>1198</v>
      </c>
      <c r="S11" s="8"/>
      <c r="T11" s="8"/>
      <c r="U11" s="8"/>
      <c r="V11" s="8"/>
      <c r="W11" s="8"/>
      <c r="X11" s="8"/>
      <c r="Y11" s="8"/>
      <c r="Z11" s="8"/>
      <c r="AA11" s="8"/>
      <c r="AB11" s="8"/>
      <c r="AC11" s="8"/>
      <c r="AD11" s="8"/>
      <c r="AE11" s="8"/>
      <c r="AF11" s="8"/>
      <c r="AG11" s="8"/>
      <c r="AH11" s="8"/>
      <c r="AI11" s="8" t="s">
        <v>1199</v>
      </c>
      <c r="AJ11" s="8"/>
      <c r="AK11" s="8"/>
      <c r="AL11" s="8"/>
      <c r="AM11" s="8"/>
      <c r="AN11" s="8"/>
      <c r="AO11" s="8"/>
      <c r="AP11" s="8"/>
      <c r="AQ11" s="8"/>
      <c r="AR11" s="8"/>
      <c r="AS11" s="8"/>
      <c r="AT11" s="8"/>
      <c r="AU11" s="8"/>
      <c r="AV11" s="8"/>
    </row>
    <row r="12" spans="1:48" ht="46" customHeight="1">
      <c r="A12" s="5" t="s">
        <v>1200</v>
      </c>
      <c r="B12" s="5"/>
      <c r="C12" s="5"/>
      <c r="D12" s="5"/>
      <c r="E12" s="5"/>
      <c r="F12" s="5"/>
      <c r="G12" s="5" t="s">
        <v>1201</v>
      </c>
      <c r="H12" s="5"/>
      <c r="I12" s="5"/>
      <c r="J12" s="5"/>
      <c r="K12" s="5"/>
      <c r="L12" s="5"/>
      <c r="M12" s="5"/>
      <c r="N12" s="5"/>
      <c r="O12" s="5"/>
      <c r="P12" s="5"/>
      <c r="Q12" s="5"/>
      <c r="R12" s="5" t="s">
        <v>1202</v>
      </c>
      <c r="S12" s="5"/>
      <c r="T12" s="5"/>
      <c r="U12" s="5"/>
      <c r="V12" s="5"/>
      <c r="W12" s="5"/>
      <c r="X12" s="5"/>
      <c r="Y12" s="5"/>
      <c r="Z12" s="5"/>
      <c r="AA12" s="5"/>
      <c r="AB12" s="5"/>
      <c r="AC12" s="5"/>
      <c r="AD12" s="5"/>
      <c r="AE12" s="5"/>
      <c r="AF12" s="5"/>
      <c r="AG12" s="5"/>
      <c r="AH12" s="5"/>
      <c r="AI12" s="5" t="s">
        <v>1203</v>
      </c>
      <c r="AJ12" s="5"/>
      <c r="AK12" s="5"/>
      <c r="AL12" s="5"/>
      <c r="AM12" s="5"/>
      <c r="AN12" s="5"/>
      <c r="AO12" s="5"/>
      <c r="AP12" s="5"/>
      <c r="AQ12" s="5"/>
      <c r="AR12" s="5"/>
      <c r="AS12" s="5"/>
      <c r="AT12" s="5"/>
      <c r="AU12" s="5"/>
      <c r="AV12" s="5"/>
    </row>
    <row r="13" spans="1:48" ht="46" customHeight="1">
      <c r="A13" s="8" t="s">
        <v>1204</v>
      </c>
      <c r="B13" s="8"/>
      <c r="C13" s="8"/>
      <c r="D13" s="8"/>
      <c r="E13" s="8"/>
      <c r="F13" s="8"/>
      <c r="G13" s="8" t="s">
        <v>1205</v>
      </c>
      <c r="H13" s="8"/>
      <c r="I13" s="8"/>
      <c r="J13" s="8"/>
      <c r="K13" s="8"/>
      <c r="L13" s="8"/>
      <c r="M13" s="8"/>
      <c r="N13" s="8"/>
      <c r="O13" s="8"/>
      <c r="P13" s="8"/>
      <c r="Q13" s="8"/>
      <c r="R13" s="8" t="s">
        <v>1206</v>
      </c>
      <c r="S13" s="8"/>
      <c r="T13" s="8"/>
      <c r="U13" s="8"/>
      <c r="V13" s="8"/>
      <c r="W13" s="8"/>
      <c r="X13" s="8"/>
      <c r="Y13" s="8"/>
      <c r="Z13" s="8"/>
      <c r="AA13" s="8"/>
      <c r="AB13" s="8"/>
      <c r="AC13" s="8"/>
      <c r="AD13" s="8"/>
      <c r="AE13" s="8"/>
      <c r="AF13" s="8"/>
      <c r="AG13" s="8"/>
      <c r="AH13" s="8"/>
      <c r="AI13" s="8" t="s">
        <v>1207</v>
      </c>
      <c r="AJ13" s="8"/>
      <c r="AK13" s="8"/>
      <c r="AL13" s="8"/>
      <c r="AM13" s="8"/>
      <c r="AN13" s="8"/>
      <c r="AO13" s="8"/>
      <c r="AP13" s="8"/>
      <c r="AQ13" s="8"/>
      <c r="AR13" s="8"/>
      <c r="AS13" s="8"/>
      <c r="AT13" s="8"/>
      <c r="AU13" s="8"/>
      <c r="AV13" s="8"/>
    </row>
    <row r="14" spans="1:48" ht="46" customHeight="1">
      <c r="A14" s="5" t="s">
        <v>1208</v>
      </c>
      <c r="B14" s="5"/>
      <c r="C14" s="5"/>
      <c r="D14" s="5"/>
      <c r="E14" s="5"/>
      <c r="F14" s="5"/>
      <c r="G14" s="5" t="s">
        <v>1209</v>
      </c>
      <c r="H14" s="5"/>
      <c r="I14" s="5"/>
      <c r="J14" s="5"/>
      <c r="K14" s="5"/>
      <c r="L14" s="5"/>
      <c r="M14" s="5"/>
      <c r="N14" s="5"/>
      <c r="O14" s="5"/>
      <c r="P14" s="5"/>
      <c r="Q14" s="5"/>
      <c r="R14" s="5" t="s">
        <v>1210</v>
      </c>
      <c r="S14" s="5"/>
      <c r="T14" s="5"/>
      <c r="U14" s="5"/>
      <c r="V14" s="5"/>
      <c r="W14" s="5"/>
      <c r="X14" s="5"/>
      <c r="Y14" s="5"/>
      <c r="Z14" s="5"/>
      <c r="AA14" s="5"/>
      <c r="AB14" s="5"/>
      <c r="AC14" s="5"/>
      <c r="AD14" s="5"/>
      <c r="AE14" s="5"/>
      <c r="AF14" s="5"/>
      <c r="AG14" s="5"/>
      <c r="AH14" s="5"/>
      <c r="AI14" s="5" t="s">
        <v>1211</v>
      </c>
      <c r="AJ14" s="5"/>
      <c r="AK14" s="5"/>
      <c r="AL14" s="5"/>
      <c r="AM14" s="5"/>
      <c r="AN14" s="5"/>
      <c r="AO14" s="5"/>
      <c r="AP14" s="5"/>
      <c r="AQ14" s="5"/>
      <c r="AR14" s="5"/>
      <c r="AS14" s="5"/>
      <c r="AT14" s="5"/>
      <c r="AU14" s="5"/>
      <c r="AV14" s="5"/>
    </row>
    <row r="15" spans="1:48" ht="21" customHeight="1">
      <c r="A15" s="9" t="s">
        <v>1212</v>
      </c>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ht="10" customHeight="1"/>
    <row r="17" spans="1:48" ht="63" customHeight="1">
      <c r="A17" s="6" t="s">
        <v>1213</v>
      </c>
      <c r="B17" s="6"/>
      <c r="C17" s="6"/>
      <c r="D17" s="6"/>
      <c r="E17" s="6"/>
      <c r="F17" s="6"/>
      <c r="G17" s="6"/>
      <c r="H17" s="6"/>
      <c r="I17" s="6"/>
      <c r="J17" s="6"/>
      <c r="K17" s="5" t="s">
        <v>1214</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8" customHeight="1"/>
    <row r="19" spans="1:48" ht="46" customHeight="1">
      <c r="A19" s="6" t="s">
        <v>1215</v>
      </c>
      <c r="B19" s="6"/>
      <c r="C19" s="6"/>
      <c r="D19" s="6"/>
      <c r="E19" s="6"/>
      <c r="F19" s="6"/>
      <c r="G19" s="6"/>
      <c r="H19" s="6"/>
      <c r="I19" s="6"/>
      <c r="J19" s="6"/>
      <c r="K19" s="5" t="s">
        <v>1216</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ht="21" customHeight="1">
      <c r="A20" s="9" t="s">
        <v>1217</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row>
    <row r="21" spans="1:48" ht="8" customHeight="1"/>
  </sheetData>
  <mergeCells count="44">
    <mergeCell ref="A1:AV1"/>
    <mergeCell ref="A2:AV2"/>
    <mergeCell ref="A3:AV3"/>
    <mergeCell ref="A4:X4"/>
    <mergeCell ref="Y4:AV4"/>
    <mergeCell ref="A6:AV6"/>
    <mergeCell ref="A7:F7"/>
    <mergeCell ref="G7:Q7"/>
    <mergeCell ref="R7:AH7"/>
    <mergeCell ref="AI7:AV7"/>
    <mergeCell ref="A8:F8"/>
    <mergeCell ref="G8:Q8"/>
    <mergeCell ref="R8:AH8"/>
    <mergeCell ref="AI8:AV8"/>
    <mergeCell ref="A9:F9"/>
    <mergeCell ref="G9:Q9"/>
    <mergeCell ref="R9:AH9"/>
    <mergeCell ref="AI9:AV9"/>
    <mergeCell ref="A10:F10"/>
    <mergeCell ref="G10:Q10"/>
    <mergeCell ref="R10:AH10"/>
    <mergeCell ref="AI10:AV10"/>
    <mergeCell ref="A11:F11"/>
    <mergeCell ref="G11:Q11"/>
    <mergeCell ref="R11:AH11"/>
    <mergeCell ref="AI11:AV11"/>
    <mergeCell ref="A12:F12"/>
    <mergeCell ref="G12:Q12"/>
    <mergeCell ref="R12:AH12"/>
    <mergeCell ref="AI12:AV12"/>
    <mergeCell ref="A13:F13"/>
    <mergeCell ref="G13:Q13"/>
    <mergeCell ref="R13:AH13"/>
    <mergeCell ref="AI13:AV13"/>
    <mergeCell ref="A14:F14"/>
    <mergeCell ref="G14:Q14"/>
    <mergeCell ref="R14:AH14"/>
    <mergeCell ref="AI14:AV14"/>
    <mergeCell ref="A15:AV15"/>
    <mergeCell ref="A17:J17"/>
    <mergeCell ref="K17:AV17"/>
    <mergeCell ref="A19:J19"/>
    <mergeCell ref="K19:AV19"/>
    <mergeCell ref="A20:AV20"/>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20.xml><?xml version="1.0" encoding="utf-8"?>
<worksheet xmlns="http://schemas.openxmlformats.org/spreadsheetml/2006/main" xmlns:r="http://schemas.openxmlformats.org/officeDocument/2006/relationships">
  <sheetPr>
    <tabColor rgb="FF777777"/>
    <pageSetUpPr fitToPage="1"/>
  </sheetPr>
  <dimension ref="A1:AV27"/>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1218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1219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1220</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1221</v>
      </c>
      <c r="B7" s="7"/>
      <c r="C7" s="7"/>
      <c r="D7" s="7"/>
      <c r="E7" s="7"/>
      <c r="F7" s="7"/>
      <c r="G7" s="7"/>
      <c r="H7" s="7"/>
      <c r="I7" s="7"/>
      <c r="J7" s="7"/>
      <c r="K7" s="7"/>
      <c r="L7" s="7"/>
      <c r="M7" s="7"/>
      <c r="N7" s="7"/>
      <c r="O7" s="7"/>
      <c r="P7" s="7"/>
      <c r="Q7" s="7"/>
      <c r="R7" s="7"/>
      <c r="S7" s="7" t="s">
        <v>1222</v>
      </c>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row>
    <row r="8" spans="1:48" ht="29" customHeight="1">
      <c r="A8" s="5" t="s">
        <v>1223</v>
      </c>
      <c r="B8" s="5"/>
      <c r="C8" s="5"/>
      <c r="D8" s="5"/>
      <c r="E8" s="5"/>
      <c r="F8" s="5"/>
      <c r="G8" s="5"/>
      <c r="H8" s="5"/>
      <c r="I8" s="5"/>
      <c r="J8" s="5"/>
      <c r="K8" s="5"/>
      <c r="L8" s="5"/>
      <c r="M8" s="5"/>
      <c r="N8" s="5"/>
      <c r="O8" s="5"/>
      <c r="P8" s="5"/>
      <c r="Q8" s="5"/>
      <c r="R8" s="5"/>
      <c r="S8" s="5" t="s">
        <v>1224</v>
      </c>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ht="29" customHeight="1">
      <c r="A9" s="8" t="s">
        <v>1225</v>
      </c>
      <c r="B9" s="8"/>
      <c r="C9" s="8"/>
      <c r="D9" s="8"/>
      <c r="E9" s="8"/>
      <c r="F9" s="8"/>
      <c r="G9" s="8"/>
      <c r="H9" s="8"/>
      <c r="I9" s="8"/>
      <c r="J9" s="8"/>
      <c r="K9" s="8"/>
      <c r="L9" s="8"/>
      <c r="M9" s="8"/>
      <c r="N9" s="8"/>
      <c r="O9" s="8"/>
      <c r="P9" s="8"/>
      <c r="Q9" s="8"/>
      <c r="R9" s="8"/>
      <c r="S9" s="8" t="s">
        <v>1226</v>
      </c>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row r="10" spans="1:48" ht="29" customHeight="1">
      <c r="A10" s="5" t="s">
        <v>1227</v>
      </c>
      <c r="B10" s="5"/>
      <c r="C10" s="5"/>
      <c r="D10" s="5"/>
      <c r="E10" s="5"/>
      <c r="F10" s="5"/>
      <c r="G10" s="5"/>
      <c r="H10" s="5"/>
      <c r="I10" s="5"/>
      <c r="J10" s="5"/>
      <c r="K10" s="5"/>
      <c r="L10" s="5"/>
      <c r="M10" s="5"/>
      <c r="N10" s="5"/>
      <c r="O10" s="5"/>
      <c r="P10" s="5"/>
      <c r="Q10" s="5"/>
      <c r="R10" s="5"/>
      <c r="S10" s="5" t="s">
        <v>1228</v>
      </c>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ht="29" customHeight="1">
      <c r="A11" s="8" t="s">
        <v>1229</v>
      </c>
      <c r="B11" s="8"/>
      <c r="C11" s="8"/>
      <c r="D11" s="8"/>
      <c r="E11" s="8"/>
      <c r="F11" s="8"/>
      <c r="G11" s="8"/>
      <c r="H11" s="8"/>
      <c r="I11" s="8"/>
      <c r="J11" s="8"/>
      <c r="K11" s="8"/>
      <c r="L11" s="8"/>
      <c r="M11" s="8"/>
      <c r="N11" s="8"/>
      <c r="O11" s="8"/>
      <c r="P11" s="8"/>
      <c r="Q11" s="8"/>
      <c r="R11" s="8"/>
      <c r="S11" s="8" t="s">
        <v>1230</v>
      </c>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ht="29" customHeight="1">
      <c r="A12" s="5" t="s">
        <v>1231</v>
      </c>
      <c r="B12" s="5"/>
      <c r="C12" s="5"/>
      <c r="D12" s="5"/>
      <c r="E12" s="5"/>
      <c r="F12" s="5"/>
      <c r="G12" s="5"/>
      <c r="H12" s="5"/>
      <c r="I12" s="5"/>
      <c r="J12" s="5"/>
      <c r="K12" s="5"/>
      <c r="L12" s="5"/>
      <c r="M12" s="5"/>
      <c r="N12" s="5"/>
      <c r="O12" s="5"/>
      <c r="P12" s="5"/>
      <c r="Q12" s="5"/>
      <c r="R12" s="5"/>
      <c r="S12" s="5" t="s">
        <v>1232</v>
      </c>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29" customHeight="1">
      <c r="A13" s="8" t="s">
        <v>1233</v>
      </c>
      <c r="B13" s="8"/>
      <c r="C13" s="8"/>
      <c r="D13" s="8"/>
      <c r="E13" s="8"/>
      <c r="F13" s="8"/>
      <c r="G13" s="8"/>
      <c r="H13" s="8"/>
      <c r="I13" s="8"/>
      <c r="J13" s="8"/>
      <c r="K13" s="8"/>
      <c r="L13" s="8"/>
      <c r="M13" s="8"/>
      <c r="N13" s="8"/>
      <c r="O13" s="8"/>
      <c r="P13" s="8"/>
      <c r="Q13" s="8"/>
      <c r="R13" s="8"/>
      <c r="S13" s="8" t="s">
        <v>1234</v>
      </c>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row>
    <row r="14" spans="1:48" ht="29" customHeight="1">
      <c r="A14" s="5" t="s">
        <v>1235</v>
      </c>
      <c r="B14" s="5"/>
      <c r="C14" s="5"/>
      <c r="D14" s="5"/>
      <c r="E14" s="5"/>
      <c r="F14" s="5"/>
      <c r="G14" s="5"/>
      <c r="H14" s="5"/>
      <c r="I14" s="5"/>
      <c r="J14" s="5"/>
      <c r="K14" s="5"/>
      <c r="L14" s="5"/>
      <c r="M14" s="5"/>
      <c r="N14" s="5"/>
      <c r="O14" s="5"/>
      <c r="P14" s="5"/>
      <c r="Q14" s="5"/>
      <c r="R14" s="5"/>
      <c r="S14" s="5" t="s">
        <v>1236</v>
      </c>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ht="29" customHeight="1">
      <c r="A15" s="8" t="s">
        <v>1237</v>
      </c>
      <c r="B15" s="8"/>
      <c r="C15" s="8"/>
      <c r="D15" s="8"/>
      <c r="E15" s="8"/>
      <c r="F15" s="8"/>
      <c r="G15" s="8"/>
      <c r="H15" s="8"/>
      <c r="I15" s="8"/>
      <c r="J15" s="8"/>
      <c r="K15" s="8"/>
      <c r="L15" s="8"/>
      <c r="M15" s="8"/>
      <c r="N15" s="8"/>
      <c r="O15" s="8"/>
      <c r="P15" s="8"/>
      <c r="Q15" s="8"/>
      <c r="R15" s="8"/>
      <c r="S15" s="8" t="s">
        <v>1238</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row>
    <row r="16" spans="1:48" ht="29" customHeight="1">
      <c r="A16" s="5" t="s">
        <v>1239</v>
      </c>
      <c r="B16" s="5"/>
      <c r="C16" s="5"/>
      <c r="D16" s="5"/>
      <c r="E16" s="5"/>
      <c r="F16" s="5"/>
      <c r="G16" s="5"/>
      <c r="H16" s="5"/>
      <c r="I16" s="5"/>
      <c r="J16" s="5"/>
      <c r="K16" s="5"/>
      <c r="L16" s="5"/>
      <c r="M16" s="5"/>
      <c r="N16" s="5"/>
      <c r="O16" s="5"/>
      <c r="P16" s="5"/>
      <c r="Q16" s="5"/>
      <c r="R16" s="5"/>
      <c r="S16" s="5" t="s">
        <v>1240</v>
      </c>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ht="29" customHeight="1">
      <c r="A17" s="8" t="s">
        <v>1241</v>
      </c>
      <c r="B17" s="8"/>
      <c r="C17" s="8"/>
      <c r="D17" s="8"/>
      <c r="E17" s="8"/>
      <c r="F17" s="8"/>
      <c r="G17" s="8"/>
      <c r="H17" s="8"/>
      <c r="I17" s="8"/>
      <c r="J17" s="8"/>
      <c r="K17" s="8"/>
      <c r="L17" s="8"/>
      <c r="M17" s="8"/>
      <c r="N17" s="8"/>
      <c r="O17" s="8"/>
      <c r="P17" s="8"/>
      <c r="Q17" s="8"/>
      <c r="R17" s="8"/>
      <c r="S17" s="8" t="s">
        <v>1242</v>
      </c>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row>
    <row r="18" spans="1:48" ht="29" customHeight="1">
      <c r="A18" s="5" t="s">
        <v>1243</v>
      </c>
      <c r="B18" s="5"/>
      <c r="C18" s="5"/>
      <c r="D18" s="5"/>
      <c r="E18" s="5"/>
      <c r="F18" s="5"/>
      <c r="G18" s="5"/>
      <c r="H18" s="5"/>
      <c r="I18" s="5"/>
      <c r="J18" s="5"/>
      <c r="K18" s="5"/>
      <c r="L18" s="5"/>
      <c r="M18" s="5"/>
      <c r="N18" s="5"/>
      <c r="O18" s="5"/>
      <c r="P18" s="5"/>
      <c r="Q18" s="5"/>
      <c r="R18" s="5"/>
      <c r="S18" s="5" t="s">
        <v>1244</v>
      </c>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ht="29" customHeight="1">
      <c r="A19" s="8" t="s">
        <v>1245</v>
      </c>
      <c r="B19" s="8"/>
      <c r="C19" s="8"/>
      <c r="D19" s="8"/>
      <c r="E19" s="8"/>
      <c r="F19" s="8"/>
      <c r="G19" s="8"/>
      <c r="H19" s="8"/>
      <c r="I19" s="8"/>
      <c r="J19" s="8"/>
      <c r="K19" s="8"/>
      <c r="L19" s="8"/>
      <c r="M19" s="8"/>
      <c r="N19" s="8"/>
      <c r="O19" s="8"/>
      <c r="P19" s="8"/>
      <c r="Q19" s="8"/>
      <c r="R19" s="8"/>
      <c r="S19" s="8" t="s">
        <v>1246</v>
      </c>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row>
    <row r="20" spans="1:48" ht="29" customHeight="1">
      <c r="A20" s="5" t="s">
        <v>1247</v>
      </c>
      <c r="B20" s="5"/>
      <c r="C20" s="5"/>
      <c r="D20" s="5"/>
      <c r="E20" s="5"/>
      <c r="F20" s="5"/>
      <c r="G20" s="5"/>
      <c r="H20" s="5"/>
      <c r="I20" s="5"/>
      <c r="J20" s="5"/>
      <c r="K20" s="5"/>
      <c r="L20" s="5"/>
      <c r="M20" s="5"/>
      <c r="N20" s="5"/>
      <c r="O20" s="5"/>
      <c r="P20" s="5"/>
      <c r="Q20" s="5"/>
      <c r="R20" s="5"/>
      <c r="S20" s="5" t="s">
        <v>1248</v>
      </c>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ht="29" customHeight="1">
      <c r="A21" s="8" t="s">
        <v>1249</v>
      </c>
      <c r="B21" s="8"/>
      <c r="C21" s="8"/>
      <c r="D21" s="8"/>
      <c r="E21" s="8"/>
      <c r="F21" s="8"/>
      <c r="G21" s="8"/>
      <c r="H21" s="8"/>
      <c r="I21" s="8"/>
      <c r="J21" s="8"/>
      <c r="K21" s="8"/>
      <c r="L21" s="8"/>
      <c r="M21" s="8"/>
      <c r="N21" s="8"/>
      <c r="O21" s="8"/>
      <c r="P21" s="8"/>
      <c r="Q21" s="8"/>
      <c r="R21" s="8"/>
      <c r="S21" s="8" t="s">
        <v>1250</v>
      </c>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row>
    <row r="22" spans="1:48" ht="29" customHeight="1">
      <c r="A22" s="5" t="s">
        <v>1251</v>
      </c>
      <c r="B22" s="5"/>
      <c r="C22" s="5"/>
      <c r="D22" s="5"/>
      <c r="E22" s="5"/>
      <c r="F22" s="5"/>
      <c r="G22" s="5"/>
      <c r="H22" s="5"/>
      <c r="I22" s="5"/>
      <c r="J22" s="5"/>
      <c r="K22" s="5"/>
      <c r="L22" s="5"/>
      <c r="M22" s="5"/>
      <c r="N22" s="5"/>
      <c r="O22" s="5"/>
      <c r="P22" s="5"/>
      <c r="Q22" s="5"/>
      <c r="R22" s="5"/>
      <c r="S22" s="5" t="s">
        <v>1252</v>
      </c>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ht="29" customHeight="1">
      <c r="A23" s="8" t="s">
        <v>1253</v>
      </c>
      <c r="B23" s="8"/>
      <c r="C23" s="8"/>
      <c r="D23" s="8"/>
      <c r="E23" s="8"/>
      <c r="F23" s="8"/>
      <c r="G23" s="8"/>
      <c r="H23" s="8"/>
      <c r="I23" s="8"/>
      <c r="J23" s="8"/>
      <c r="K23" s="8"/>
      <c r="L23" s="8"/>
      <c r="M23" s="8"/>
      <c r="N23" s="8"/>
      <c r="O23" s="8"/>
      <c r="P23" s="8"/>
      <c r="Q23" s="8"/>
      <c r="R23" s="8"/>
      <c r="S23" s="8" t="s">
        <v>1254</v>
      </c>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row>
    <row r="24" spans="1:48" ht="29" customHeight="1">
      <c r="A24" s="5" t="s">
        <v>1255</v>
      </c>
      <c r="B24" s="5"/>
      <c r="C24" s="5"/>
      <c r="D24" s="5"/>
      <c r="E24" s="5"/>
      <c r="F24" s="5"/>
      <c r="G24" s="5"/>
      <c r="H24" s="5"/>
      <c r="I24" s="5"/>
      <c r="J24" s="5"/>
      <c r="K24" s="5"/>
      <c r="L24" s="5"/>
      <c r="M24" s="5"/>
      <c r="N24" s="5"/>
      <c r="O24" s="5"/>
      <c r="P24" s="5"/>
      <c r="Q24" s="5"/>
      <c r="R24" s="5"/>
      <c r="S24" s="5" t="s">
        <v>1256</v>
      </c>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10" customHeight="1"/>
    <row r="26" spans="1:48" ht="63" customHeight="1">
      <c r="A26" s="6" t="s">
        <v>1257</v>
      </c>
      <c r="B26" s="6"/>
      <c r="C26" s="6"/>
      <c r="D26" s="6"/>
      <c r="E26" s="6"/>
      <c r="F26" s="6"/>
      <c r="G26" s="6"/>
      <c r="H26" s="6"/>
      <c r="I26" s="6"/>
      <c r="J26" s="6"/>
      <c r="K26" s="5" t="s">
        <v>1258</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8" customHeight="1"/>
  </sheetData>
  <mergeCells count="44">
    <mergeCell ref="A1:AV1"/>
    <mergeCell ref="A2:AV2"/>
    <mergeCell ref="A3:AV3"/>
    <mergeCell ref="A4:X4"/>
    <mergeCell ref="Y4:AV4"/>
    <mergeCell ref="A6:AV6"/>
    <mergeCell ref="A7:R7"/>
    <mergeCell ref="S7:AV7"/>
    <mergeCell ref="A8:R8"/>
    <mergeCell ref="S8:AV8"/>
    <mergeCell ref="A9:R9"/>
    <mergeCell ref="S9:AV9"/>
    <mergeCell ref="A10:R10"/>
    <mergeCell ref="S10:AV10"/>
    <mergeCell ref="A11:R11"/>
    <mergeCell ref="S11:AV11"/>
    <mergeCell ref="A12:R12"/>
    <mergeCell ref="S12:AV12"/>
    <mergeCell ref="A13:R13"/>
    <mergeCell ref="S13:AV13"/>
    <mergeCell ref="A14:R14"/>
    <mergeCell ref="S14:AV14"/>
    <mergeCell ref="A15:R15"/>
    <mergeCell ref="S15:AV15"/>
    <mergeCell ref="A16:R16"/>
    <mergeCell ref="S16:AV16"/>
    <mergeCell ref="A17:R17"/>
    <mergeCell ref="S17:AV17"/>
    <mergeCell ref="A18:R18"/>
    <mergeCell ref="S18:AV18"/>
    <mergeCell ref="A19:R19"/>
    <mergeCell ref="S19:AV19"/>
    <mergeCell ref="A20:R20"/>
    <mergeCell ref="S20:AV20"/>
    <mergeCell ref="A21:R21"/>
    <mergeCell ref="S21:AV21"/>
    <mergeCell ref="A22:R22"/>
    <mergeCell ref="S22:AV22"/>
    <mergeCell ref="A23:R23"/>
    <mergeCell ref="S23:AV23"/>
    <mergeCell ref="A24:R24"/>
    <mergeCell ref="S24:AV24"/>
    <mergeCell ref="A26:J26"/>
    <mergeCell ref="K26:AV26"/>
  </mergeCells>
  <hyperlinks>
    <hyperlink ref="A4" location="'00_結論と読み方'!A1" display="目次へ"/>
    <hyperlink ref="Y4" location="'18_出典と適用範囲'!A1" display="出典一覧へ"/>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xl/worksheets/sheet21.xml><?xml version="1.0" encoding="utf-8"?>
<worksheet xmlns="http://schemas.openxmlformats.org/spreadsheetml/2006/main" xmlns:r="http://schemas.openxmlformats.org/officeDocument/2006/relationships">
  <sheetPr>
    <tabColor rgb="FF777777"/>
    <pageSetUpPr fitToPage="1"/>
  </sheetPr>
  <dimension ref="A1:AV68"/>
  <sheetViews>
    <sheetView showGridLines="0" zoomScale="85" zoomScaleNormal="85" workbookViewId="0">
      <pane ySplit="5" topLeftCell="A6" activePane="bottomLeft" state="frozen"/>
      <selection pane="bottomLeft"/>
    </sheetView>
  </sheetViews>
  <sheetFormatPr defaultRowHeight="15"/>
  <cols>
    <col min="1" max="48" width="4" customWidth="1"/>
  </cols>
  <sheetData>
    <row r="1" spans="1:48" ht="40" customHeight="1">
      <c r="A1" s="1" t="s">
        <v>1259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ht="25"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spans="1:48" ht="32" customHeight="1">
      <c r="A3" s="2" t="s">
        <v>1260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spans="1:48" ht="22" customHeight="1">
      <c r="A4" s="3" t="s">
        <v>3</v>
      </c>
      <c r="B4" s="3"/>
      <c r="C4" s="3"/>
      <c r="D4" s="3"/>
      <c r="E4" s="3"/>
      <c r="F4" s="3"/>
      <c r="G4" s="3"/>
      <c r="H4" s="3"/>
      <c r="I4" s="3"/>
      <c r="J4" s="3"/>
      <c r="K4" s="3"/>
      <c r="L4" s="3"/>
      <c r="M4" s="3"/>
      <c r="N4" s="3"/>
      <c r="O4" s="3"/>
      <c r="P4" s="3"/>
      <c r="Q4" s="3"/>
      <c r="R4" s="3"/>
      <c r="S4" s="3"/>
      <c r="T4" s="3"/>
      <c r="U4" s="3"/>
      <c r="V4" s="3"/>
      <c r="W4" s="3"/>
      <c r="X4" s="3"/>
      <c r="Y4" s="3" t="s">
        <v>4</v>
      </c>
      <c r="Z4" s="3"/>
      <c r="AA4" s="3"/>
      <c r="AB4" s="3"/>
      <c r="AC4" s="3"/>
      <c r="AD4" s="3"/>
      <c r="AE4" s="3"/>
      <c r="AF4" s="3"/>
      <c r="AG4" s="3"/>
      <c r="AH4" s="3"/>
      <c r="AI4" s="3"/>
      <c r="AJ4" s="3"/>
      <c r="AK4" s="3"/>
      <c r="AL4" s="3"/>
      <c r="AM4" s="3"/>
      <c r="AN4" s="3"/>
      <c r="AO4" s="3"/>
      <c r="AP4" s="3"/>
      <c r="AQ4" s="3"/>
      <c r="AR4" s="3"/>
      <c r="AS4" s="3"/>
      <c r="AT4" s="3"/>
      <c r="AU4" s="3"/>
      <c r="AV4" s="3"/>
    </row>
    <row r="5" spans="1:48" ht="8" customHeight="1"/>
    <row r="6" spans="1:48" ht="29" customHeight="1">
      <c r="A6" s="4" t="s">
        <v>1261</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1:48" ht="30" customHeight="1">
      <c r="A7" s="7" t="s">
        <v>1262</v>
      </c>
      <c r="B7" s="7"/>
      <c r="C7" s="7" t="s">
        <v>1263</v>
      </c>
      <c r="D7" s="7"/>
      <c r="E7" s="7"/>
      <c r="F7" s="7"/>
      <c r="G7" s="7"/>
      <c r="H7" s="7"/>
      <c r="I7" s="7"/>
      <c r="J7" s="7"/>
      <c r="K7" s="7"/>
      <c r="L7" s="7"/>
      <c r="M7" s="7"/>
      <c r="N7" s="7"/>
      <c r="O7" s="7" t="s">
        <v>1264</v>
      </c>
      <c r="P7" s="7"/>
      <c r="Q7" s="7"/>
      <c r="R7" s="7"/>
      <c r="S7" s="7"/>
      <c r="T7" s="7"/>
      <c r="U7" s="7"/>
      <c r="V7" s="7"/>
      <c r="W7" s="7"/>
      <c r="X7" s="7"/>
      <c r="Y7" s="7"/>
      <c r="Z7" s="7"/>
      <c r="AA7" s="7"/>
      <c r="AB7" s="7"/>
      <c r="AC7" s="7"/>
      <c r="AD7" s="7" t="s">
        <v>1265</v>
      </c>
      <c r="AE7" s="7"/>
      <c r="AF7" s="7"/>
      <c r="AG7" s="7"/>
      <c r="AH7" s="7"/>
      <c r="AI7" s="7"/>
      <c r="AJ7" s="7"/>
      <c r="AK7" s="7"/>
      <c r="AL7" s="7"/>
      <c r="AM7" s="7"/>
      <c r="AN7" s="7"/>
      <c r="AO7" s="7"/>
      <c r="AP7" s="7"/>
      <c r="AQ7" s="7"/>
      <c r="AR7" s="7"/>
      <c r="AS7" s="7"/>
      <c r="AT7" s="7"/>
      <c r="AU7" s="7"/>
      <c r="AV7" s="7"/>
    </row>
    <row r="8" spans="1:48" ht="46" customHeight="1">
      <c r="A8" s="5" t="s">
        <v>1266</v>
      </c>
      <c r="B8" s="5"/>
      <c r="C8" s="5" t="s">
        <v>1267</v>
      </c>
      <c r="D8" s="5"/>
      <c r="E8" s="5"/>
      <c r="F8" s="5"/>
      <c r="G8" s="5"/>
      <c r="H8" s="5"/>
      <c r="I8" s="5"/>
      <c r="J8" s="5"/>
      <c r="K8" s="5"/>
      <c r="L8" s="5"/>
      <c r="M8" s="5"/>
      <c r="N8" s="5"/>
      <c r="O8" s="5" t="s">
        <v>1268</v>
      </c>
      <c r="P8" s="5"/>
      <c r="Q8" s="5"/>
      <c r="R8" s="5"/>
      <c r="S8" s="5"/>
      <c r="T8" s="5"/>
      <c r="U8" s="5"/>
      <c r="V8" s="5"/>
      <c r="W8" s="5"/>
      <c r="X8" s="5"/>
      <c r="Y8" s="5"/>
      <c r="Z8" s="5"/>
      <c r="AA8" s="5"/>
      <c r="AB8" s="5"/>
      <c r="AC8" s="5"/>
      <c r="AD8" s="5" t="s">
        <v>1269</v>
      </c>
      <c r="AE8" s="5"/>
      <c r="AF8" s="5"/>
      <c r="AG8" s="5"/>
      <c r="AH8" s="5"/>
      <c r="AI8" s="5"/>
      <c r="AJ8" s="5"/>
      <c r="AK8" s="5"/>
      <c r="AL8" s="5"/>
      <c r="AM8" s="5"/>
      <c r="AN8" s="5"/>
      <c r="AO8" s="5"/>
      <c r="AP8" s="5"/>
      <c r="AQ8" s="5"/>
      <c r="AR8" s="5"/>
      <c r="AS8" s="5"/>
      <c r="AT8" s="5"/>
      <c r="AU8" s="5"/>
      <c r="AV8" s="5"/>
    </row>
    <row r="9" spans="1:48" ht="46" customHeight="1">
      <c r="A9" s="8" t="s">
        <v>1270</v>
      </c>
      <c r="B9" s="8"/>
      <c r="C9" s="8" t="s">
        <v>1271</v>
      </c>
      <c r="D9" s="8"/>
      <c r="E9" s="8"/>
      <c r="F9" s="8"/>
      <c r="G9" s="8"/>
      <c r="H9" s="8"/>
      <c r="I9" s="8"/>
      <c r="J9" s="8"/>
      <c r="K9" s="8"/>
      <c r="L9" s="8"/>
      <c r="M9" s="8"/>
      <c r="N9" s="8"/>
      <c r="O9" s="8" t="s">
        <v>1272</v>
      </c>
      <c r="P9" s="8"/>
      <c r="Q9" s="8"/>
      <c r="R9" s="8"/>
      <c r="S9" s="8"/>
      <c r="T9" s="8"/>
      <c r="U9" s="8"/>
      <c r="V9" s="8"/>
      <c r="W9" s="8"/>
      <c r="X9" s="8"/>
      <c r="Y9" s="8"/>
      <c r="Z9" s="8"/>
      <c r="AA9" s="8"/>
      <c r="AB9" s="8"/>
      <c r="AC9" s="8"/>
      <c r="AD9" s="8" t="s">
        <v>1273</v>
      </c>
      <c r="AE9" s="8"/>
      <c r="AF9" s="8"/>
      <c r="AG9" s="8"/>
      <c r="AH9" s="8"/>
      <c r="AI9" s="8"/>
      <c r="AJ9" s="8"/>
      <c r="AK9" s="8"/>
      <c r="AL9" s="8"/>
      <c r="AM9" s="8"/>
      <c r="AN9" s="8"/>
      <c r="AO9" s="8"/>
      <c r="AP9" s="8"/>
      <c r="AQ9" s="8"/>
      <c r="AR9" s="8"/>
      <c r="AS9" s="8"/>
      <c r="AT9" s="8"/>
      <c r="AU9" s="8"/>
      <c r="AV9" s="8"/>
    </row>
    <row r="10" spans="1:48" ht="46" customHeight="1">
      <c r="A10" s="5" t="s">
        <v>1274</v>
      </c>
      <c r="B10" s="5"/>
      <c r="C10" s="5" t="s">
        <v>1275</v>
      </c>
      <c r="D10" s="5"/>
      <c r="E10" s="5"/>
      <c r="F10" s="5"/>
      <c r="G10" s="5"/>
      <c r="H10" s="5"/>
      <c r="I10" s="5"/>
      <c r="J10" s="5"/>
      <c r="K10" s="5"/>
      <c r="L10" s="5"/>
      <c r="M10" s="5"/>
      <c r="N10" s="5"/>
      <c r="O10" s="5" t="s">
        <v>1276</v>
      </c>
      <c r="P10" s="5"/>
      <c r="Q10" s="5"/>
      <c r="R10" s="5"/>
      <c r="S10" s="5"/>
      <c r="T10" s="5"/>
      <c r="U10" s="5"/>
      <c r="V10" s="5"/>
      <c r="W10" s="5"/>
      <c r="X10" s="5"/>
      <c r="Y10" s="5"/>
      <c r="Z10" s="5"/>
      <c r="AA10" s="5"/>
      <c r="AB10" s="5"/>
      <c r="AC10" s="5"/>
      <c r="AD10" s="5" t="s">
        <v>1277</v>
      </c>
      <c r="AE10" s="5"/>
      <c r="AF10" s="5"/>
      <c r="AG10" s="5"/>
      <c r="AH10" s="5"/>
      <c r="AI10" s="5"/>
      <c r="AJ10" s="5"/>
      <c r="AK10" s="5"/>
      <c r="AL10" s="5"/>
      <c r="AM10" s="5"/>
      <c r="AN10" s="5"/>
      <c r="AO10" s="5"/>
      <c r="AP10" s="5"/>
      <c r="AQ10" s="5"/>
      <c r="AR10" s="5"/>
      <c r="AS10" s="5"/>
      <c r="AT10" s="5"/>
      <c r="AU10" s="5"/>
      <c r="AV10" s="5"/>
    </row>
    <row r="11" spans="1:48" ht="46" customHeight="1">
      <c r="A11" s="8" t="s">
        <v>1278</v>
      </c>
      <c r="B11" s="8"/>
      <c r="C11" s="8" t="s">
        <v>1279</v>
      </c>
      <c r="D11" s="8"/>
      <c r="E11" s="8"/>
      <c r="F11" s="8"/>
      <c r="G11" s="8"/>
      <c r="H11" s="8"/>
      <c r="I11" s="8"/>
      <c r="J11" s="8"/>
      <c r="K11" s="8"/>
      <c r="L11" s="8"/>
      <c r="M11" s="8"/>
      <c r="N11" s="8"/>
      <c r="O11" s="8" t="s">
        <v>1280</v>
      </c>
      <c r="P11" s="8"/>
      <c r="Q11" s="8"/>
      <c r="R11" s="8"/>
      <c r="S11" s="8"/>
      <c r="T11" s="8"/>
      <c r="U11" s="8"/>
      <c r="V11" s="8"/>
      <c r="W11" s="8"/>
      <c r="X11" s="8"/>
      <c r="Y11" s="8"/>
      <c r="Z11" s="8"/>
      <c r="AA11" s="8"/>
      <c r="AB11" s="8"/>
      <c r="AC11" s="8"/>
      <c r="AD11" s="8" t="s">
        <v>1281</v>
      </c>
      <c r="AE11" s="8"/>
      <c r="AF11" s="8"/>
      <c r="AG11" s="8"/>
      <c r="AH11" s="8"/>
      <c r="AI11" s="8"/>
      <c r="AJ11" s="8"/>
      <c r="AK11" s="8"/>
      <c r="AL11" s="8"/>
      <c r="AM11" s="8"/>
      <c r="AN11" s="8"/>
      <c r="AO11" s="8"/>
      <c r="AP11" s="8"/>
      <c r="AQ11" s="8"/>
      <c r="AR11" s="8"/>
      <c r="AS11" s="8"/>
      <c r="AT11" s="8"/>
      <c r="AU11" s="8"/>
      <c r="AV11" s="8"/>
    </row>
    <row r="12" spans="1:48" ht="46" customHeight="1">
      <c r="A12" s="5" t="s">
        <v>1282</v>
      </c>
      <c r="B12" s="5"/>
      <c r="C12" s="5" t="s">
        <v>1283</v>
      </c>
      <c r="D12" s="5"/>
      <c r="E12" s="5"/>
      <c r="F12" s="5"/>
      <c r="G12" s="5"/>
      <c r="H12" s="5"/>
      <c r="I12" s="5"/>
      <c r="J12" s="5"/>
      <c r="K12" s="5"/>
      <c r="L12" s="5"/>
      <c r="M12" s="5"/>
      <c r="N12" s="5"/>
      <c r="O12" s="5" t="s">
        <v>1284</v>
      </c>
      <c r="P12" s="5"/>
      <c r="Q12" s="5"/>
      <c r="R12" s="5"/>
      <c r="S12" s="5"/>
      <c r="T12" s="5"/>
      <c r="U12" s="5"/>
      <c r="V12" s="5"/>
      <c r="W12" s="5"/>
      <c r="X12" s="5"/>
      <c r="Y12" s="5"/>
      <c r="Z12" s="5"/>
      <c r="AA12" s="5"/>
      <c r="AB12" s="5"/>
      <c r="AC12" s="5"/>
      <c r="AD12" s="5" t="s">
        <v>1285</v>
      </c>
      <c r="AE12" s="5"/>
      <c r="AF12" s="5"/>
      <c r="AG12" s="5"/>
      <c r="AH12" s="5"/>
      <c r="AI12" s="5"/>
      <c r="AJ12" s="5"/>
      <c r="AK12" s="5"/>
      <c r="AL12" s="5"/>
      <c r="AM12" s="5"/>
      <c r="AN12" s="5"/>
      <c r="AO12" s="5"/>
      <c r="AP12" s="5"/>
      <c r="AQ12" s="5"/>
      <c r="AR12" s="5"/>
      <c r="AS12" s="5"/>
      <c r="AT12" s="5"/>
      <c r="AU12" s="5"/>
      <c r="AV12" s="5"/>
    </row>
    <row r="13" spans="1:48" ht="46" customHeight="1">
      <c r="A13" s="8" t="s">
        <v>1286</v>
      </c>
      <c r="B13" s="8"/>
      <c r="C13" s="8" t="s">
        <v>1287</v>
      </c>
      <c r="D13" s="8"/>
      <c r="E13" s="8"/>
      <c r="F13" s="8"/>
      <c r="G13" s="8"/>
      <c r="H13" s="8"/>
      <c r="I13" s="8"/>
      <c r="J13" s="8"/>
      <c r="K13" s="8"/>
      <c r="L13" s="8"/>
      <c r="M13" s="8"/>
      <c r="N13" s="8"/>
      <c r="O13" s="8" t="s">
        <v>1288</v>
      </c>
      <c r="P13" s="8"/>
      <c r="Q13" s="8"/>
      <c r="R13" s="8"/>
      <c r="S13" s="8"/>
      <c r="T13" s="8"/>
      <c r="U13" s="8"/>
      <c r="V13" s="8"/>
      <c r="W13" s="8"/>
      <c r="X13" s="8"/>
      <c r="Y13" s="8"/>
      <c r="Z13" s="8"/>
      <c r="AA13" s="8"/>
      <c r="AB13" s="8"/>
      <c r="AC13" s="8"/>
      <c r="AD13" s="8" t="s">
        <v>1289</v>
      </c>
      <c r="AE13" s="8"/>
      <c r="AF13" s="8"/>
      <c r="AG13" s="8"/>
      <c r="AH13" s="8"/>
      <c r="AI13" s="8"/>
      <c r="AJ13" s="8"/>
      <c r="AK13" s="8"/>
      <c r="AL13" s="8"/>
      <c r="AM13" s="8"/>
      <c r="AN13" s="8"/>
      <c r="AO13" s="8"/>
      <c r="AP13" s="8"/>
      <c r="AQ13" s="8"/>
      <c r="AR13" s="8"/>
      <c r="AS13" s="8"/>
      <c r="AT13" s="8"/>
      <c r="AU13" s="8"/>
      <c r="AV13" s="8"/>
    </row>
    <row r="14" spans="1:48" ht="46" customHeight="1">
      <c r="A14" s="5" t="s">
        <v>1290</v>
      </c>
      <c r="B14" s="5"/>
      <c r="C14" s="5" t="s">
        <v>1291</v>
      </c>
      <c r="D14" s="5"/>
      <c r="E14" s="5"/>
      <c r="F14" s="5"/>
      <c r="G14" s="5"/>
      <c r="H14" s="5"/>
      <c r="I14" s="5"/>
      <c r="J14" s="5"/>
      <c r="K14" s="5"/>
      <c r="L14" s="5"/>
      <c r="M14" s="5"/>
      <c r="N14" s="5"/>
      <c r="O14" s="5" t="s">
        <v>1292</v>
      </c>
      <c r="P14" s="5"/>
      <c r="Q14" s="5"/>
      <c r="R14" s="5"/>
      <c r="S14" s="5"/>
      <c r="T14" s="5"/>
      <c r="U14" s="5"/>
      <c r="V14" s="5"/>
      <c r="W14" s="5"/>
      <c r="X14" s="5"/>
      <c r="Y14" s="5"/>
      <c r="Z14" s="5"/>
      <c r="AA14" s="5"/>
      <c r="AB14" s="5"/>
      <c r="AC14" s="5"/>
      <c r="AD14" s="5" t="s">
        <v>1293</v>
      </c>
      <c r="AE14" s="5"/>
      <c r="AF14" s="5"/>
      <c r="AG14" s="5"/>
      <c r="AH14" s="5"/>
      <c r="AI14" s="5"/>
      <c r="AJ14" s="5"/>
      <c r="AK14" s="5"/>
      <c r="AL14" s="5"/>
      <c r="AM14" s="5"/>
      <c r="AN14" s="5"/>
      <c r="AO14" s="5"/>
      <c r="AP14" s="5"/>
      <c r="AQ14" s="5"/>
      <c r="AR14" s="5"/>
      <c r="AS14" s="5"/>
      <c r="AT14" s="5"/>
      <c r="AU14" s="5"/>
      <c r="AV14" s="5"/>
    </row>
    <row r="15" spans="1:48" ht="46" customHeight="1">
      <c r="A15" s="8" t="s">
        <v>1294</v>
      </c>
      <c r="B15" s="8"/>
      <c r="C15" s="8" t="s">
        <v>1295</v>
      </c>
      <c r="D15" s="8"/>
      <c r="E15" s="8"/>
      <c r="F15" s="8"/>
      <c r="G15" s="8"/>
      <c r="H15" s="8"/>
      <c r="I15" s="8"/>
      <c r="J15" s="8"/>
      <c r="K15" s="8"/>
      <c r="L15" s="8"/>
      <c r="M15" s="8"/>
      <c r="N15" s="8"/>
      <c r="O15" s="8" t="s">
        <v>1296</v>
      </c>
      <c r="P15" s="8"/>
      <c r="Q15" s="8"/>
      <c r="R15" s="8"/>
      <c r="S15" s="8"/>
      <c r="T15" s="8"/>
      <c r="U15" s="8"/>
      <c r="V15" s="8"/>
      <c r="W15" s="8"/>
      <c r="X15" s="8"/>
      <c r="Y15" s="8"/>
      <c r="Z15" s="8"/>
      <c r="AA15" s="8"/>
      <c r="AB15" s="8"/>
      <c r="AC15" s="8"/>
      <c r="AD15" s="8" t="s">
        <v>1297</v>
      </c>
      <c r="AE15" s="8"/>
      <c r="AF15" s="8"/>
      <c r="AG15" s="8"/>
      <c r="AH15" s="8"/>
      <c r="AI15" s="8"/>
      <c r="AJ15" s="8"/>
      <c r="AK15" s="8"/>
      <c r="AL15" s="8"/>
      <c r="AM15" s="8"/>
      <c r="AN15" s="8"/>
      <c r="AO15" s="8"/>
      <c r="AP15" s="8"/>
      <c r="AQ15" s="8"/>
      <c r="AR15" s="8"/>
      <c r="AS15" s="8"/>
      <c r="AT15" s="8"/>
      <c r="AU15" s="8"/>
      <c r="AV15" s="8"/>
    </row>
    <row r="16" spans="1:48" ht="46" customHeight="1">
      <c r="A16" s="5" t="s">
        <v>1298</v>
      </c>
      <c r="B16" s="5"/>
      <c r="C16" s="5" t="s">
        <v>1299</v>
      </c>
      <c r="D16" s="5"/>
      <c r="E16" s="5"/>
      <c r="F16" s="5"/>
      <c r="G16" s="5"/>
      <c r="H16" s="5"/>
      <c r="I16" s="5"/>
      <c r="J16" s="5"/>
      <c r="K16" s="5"/>
      <c r="L16" s="5"/>
      <c r="M16" s="5"/>
      <c r="N16" s="5"/>
      <c r="O16" s="5" t="s">
        <v>1300</v>
      </c>
      <c r="P16" s="5"/>
      <c r="Q16" s="5"/>
      <c r="R16" s="5"/>
      <c r="S16" s="5"/>
      <c r="T16" s="5"/>
      <c r="U16" s="5"/>
      <c r="V16" s="5"/>
      <c r="W16" s="5"/>
      <c r="X16" s="5"/>
      <c r="Y16" s="5"/>
      <c r="Z16" s="5"/>
      <c r="AA16" s="5"/>
      <c r="AB16" s="5"/>
      <c r="AC16" s="5"/>
      <c r="AD16" s="5" t="s">
        <v>1301</v>
      </c>
      <c r="AE16" s="5"/>
      <c r="AF16" s="5"/>
      <c r="AG16" s="5"/>
      <c r="AH16" s="5"/>
      <c r="AI16" s="5"/>
      <c r="AJ16" s="5"/>
      <c r="AK16" s="5"/>
      <c r="AL16" s="5"/>
      <c r="AM16" s="5"/>
      <c r="AN16" s="5"/>
      <c r="AO16" s="5"/>
      <c r="AP16" s="5"/>
      <c r="AQ16" s="5"/>
      <c r="AR16" s="5"/>
      <c r="AS16" s="5"/>
      <c r="AT16" s="5"/>
      <c r="AU16" s="5"/>
      <c r="AV16" s="5"/>
    </row>
    <row r="17" spans="1:48" ht="46" customHeight="1">
      <c r="A17" s="8" t="s">
        <v>1302</v>
      </c>
      <c r="B17" s="8"/>
      <c r="C17" s="8" t="s">
        <v>1303</v>
      </c>
      <c r="D17" s="8"/>
      <c r="E17" s="8"/>
      <c r="F17" s="8"/>
      <c r="G17" s="8"/>
      <c r="H17" s="8"/>
      <c r="I17" s="8"/>
      <c r="J17" s="8"/>
      <c r="K17" s="8"/>
      <c r="L17" s="8"/>
      <c r="M17" s="8"/>
      <c r="N17" s="8"/>
      <c r="O17" s="8" t="s">
        <v>1304</v>
      </c>
      <c r="P17" s="8"/>
      <c r="Q17" s="8"/>
      <c r="R17" s="8"/>
      <c r="S17" s="8"/>
      <c r="T17" s="8"/>
      <c r="U17" s="8"/>
      <c r="V17" s="8"/>
      <c r="W17" s="8"/>
      <c r="X17" s="8"/>
      <c r="Y17" s="8"/>
      <c r="Z17" s="8"/>
      <c r="AA17" s="8"/>
      <c r="AB17" s="8"/>
      <c r="AC17" s="8"/>
      <c r="AD17" s="8" t="s">
        <v>1305</v>
      </c>
      <c r="AE17" s="8"/>
      <c r="AF17" s="8"/>
      <c r="AG17" s="8"/>
      <c r="AH17" s="8"/>
      <c r="AI17" s="8"/>
      <c r="AJ17" s="8"/>
      <c r="AK17" s="8"/>
      <c r="AL17" s="8"/>
      <c r="AM17" s="8"/>
      <c r="AN17" s="8"/>
      <c r="AO17" s="8"/>
      <c r="AP17" s="8"/>
      <c r="AQ17" s="8"/>
      <c r="AR17" s="8"/>
      <c r="AS17" s="8"/>
      <c r="AT17" s="8"/>
      <c r="AU17" s="8"/>
      <c r="AV17" s="8"/>
    </row>
    <row r="18" spans="1:48" ht="46" customHeight="1">
      <c r="A18" s="5" t="s">
        <v>1306</v>
      </c>
      <c r="B18" s="5"/>
      <c r="C18" s="5" t="s">
        <v>1307</v>
      </c>
      <c r="D18" s="5"/>
      <c r="E18" s="5"/>
      <c r="F18" s="5"/>
      <c r="G18" s="5"/>
      <c r="H18" s="5"/>
      <c r="I18" s="5"/>
      <c r="J18" s="5"/>
      <c r="K18" s="5"/>
      <c r="L18" s="5"/>
      <c r="M18" s="5"/>
      <c r="N18" s="5"/>
      <c r="O18" s="5" t="s">
        <v>1308</v>
      </c>
      <c r="P18" s="5"/>
      <c r="Q18" s="5"/>
      <c r="R18" s="5"/>
      <c r="S18" s="5"/>
      <c r="T18" s="5"/>
      <c r="U18" s="5"/>
      <c r="V18" s="5"/>
      <c r="W18" s="5"/>
      <c r="X18" s="5"/>
      <c r="Y18" s="5"/>
      <c r="Z18" s="5"/>
      <c r="AA18" s="5"/>
      <c r="AB18" s="5"/>
      <c r="AC18" s="5"/>
      <c r="AD18" s="5" t="s">
        <v>1309</v>
      </c>
      <c r="AE18" s="5"/>
      <c r="AF18" s="5"/>
      <c r="AG18" s="5"/>
      <c r="AH18" s="5"/>
      <c r="AI18" s="5"/>
      <c r="AJ18" s="5"/>
      <c r="AK18" s="5"/>
      <c r="AL18" s="5"/>
      <c r="AM18" s="5"/>
      <c r="AN18" s="5"/>
      <c r="AO18" s="5"/>
      <c r="AP18" s="5"/>
      <c r="AQ18" s="5"/>
      <c r="AR18" s="5"/>
      <c r="AS18" s="5"/>
      <c r="AT18" s="5"/>
      <c r="AU18" s="5"/>
      <c r="AV18" s="5"/>
    </row>
    <row r="19" spans="1:48" ht="46" customHeight="1">
      <c r="A19" s="8" t="s">
        <v>1310</v>
      </c>
      <c r="B19" s="8"/>
      <c r="C19" s="8" t="s">
        <v>1311</v>
      </c>
      <c r="D19" s="8"/>
      <c r="E19" s="8"/>
      <c r="F19" s="8"/>
      <c r="G19" s="8"/>
      <c r="H19" s="8"/>
      <c r="I19" s="8"/>
      <c r="J19" s="8"/>
      <c r="K19" s="8"/>
      <c r="L19" s="8"/>
      <c r="M19" s="8"/>
      <c r="N19" s="8"/>
      <c r="O19" s="8" t="s">
        <v>1312</v>
      </c>
      <c r="P19" s="8"/>
      <c r="Q19" s="8"/>
      <c r="R19" s="8"/>
      <c r="S19" s="8"/>
      <c r="T19" s="8"/>
      <c r="U19" s="8"/>
      <c r="V19" s="8"/>
      <c r="W19" s="8"/>
      <c r="X19" s="8"/>
      <c r="Y19" s="8"/>
      <c r="Z19" s="8"/>
      <c r="AA19" s="8"/>
      <c r="AB19" s="8"/>
      <c r="AC19" s="8"/>
      <c r="AD19" s="8" t="s">
        <v>1313</v>
      </c>
      <c r="AE19" s="8"/>
      <c r="AF19" s="8"/>
      <c r="AG19" s="8"/>
      <c r="AH19" s="8"/>
      <c r="AI19" s="8"/>
      <c r="AJ19" s="8"/>
      <c r="AK19" s="8"/>
      <c r="AL19" s="8"/>
      <c r="AM19" s="8"/>
      <c r="AN19" s="8"/>
      <c r="AO19" s="8"/>
      <c r="AP19" s="8"/>
      <c r="AQ19" s="8"/>
      <c r="AR19" s="8"/>
      <c r="AS19" s="8"/>
      <c r="AT19" s="8"/>
      <c r="AU19" s="8"/>
      <c r="AV19" s="8"/>
    </row>
    <row r="20" spans="1:48" ht="46" customHeight="1">
      <c r="A20" s="5" t="s">
        <v>1314</v>
      </c>
      <c r="B20" s="5"/>
      <c r="C20" s="5" t="s">
        <v>1315</v>
      </c>
      <c r="D20" s="5"/>
      <c r="E20" s="5"/>
      <c r="F20" s="5"/>
      <c r="G20" s="5"/>
      <c r="H20" s="5"/>
      <c r="I20" s="5"/>
      <c r="J20" s="5"/>
      <c r="K20" s="5"/>
      <c r="L20" s="5"/>
      <c r="M20" s="5"/>
      <c r="N20" s="5"/>
      <c r="O20" s="5" t="s">
        <v>1316</v>
      </c>
      <c r="P20" s="5"/>
      <c r="Q20" s="5"/>
      <c r="R20" s="5"/>
      <c r="S20" s="5"/>
      <c r="T20" s="5"/>
      <c r="U20" s="5"/>
      <c r="V20" s="5"/>
      <c r="W20" s="5"/>
      <c r="X20" s="5"/>
      <c r="Y20" s="5"/>
      <c r="Z20" s="5"/>
      <c r="AA20" s="5"/>
      <c r="AB20" s="5"/>
      <c r="AC20" s="5"/>
      <c r="AD20" s="5" t="s">
        <v>1317</v>
      </c>
      <c r="AE20" s="5"/>
      <c r="AF20" s="5"/>
      <c r="AG20" s="5"/>
      <c r="AH20" s="5"/>
      <c r="AI20" s="5"/>
      <c r="AJ20" s="5"/>
      <c r="AK20" s="5"/>
      <c r="AL20" s="5"/>
      <c r="AM20" s="5"/>
      <c r="AN20" s="5"/>
      <c r="AO20" s="5"/>
      <c r="AP20" s="5"/>
      <c r="AQ20" s="5"/>
      <c r="AR20" s="5"/>
      <c r="AS20" s="5"/>
      <c r="AT20" s="5"/>
      <c r="AU20" s="5"/>
      <c r="AV20" s="5"/>
    </row>
    <row r="21" spans="1:48" ht="46" customHeight="1">
      <c r="A21" s="8" t="s">
        <v>1318</v>
      </c>
      <c r="B21" s="8"/>
      <c r="C21" s="8" t="s">
        <v>1319</v>
      </c>
      <c r="D21" s="8"/>
      <c r="E21" s="8"/>
      <c r="F21" s="8"/>
      <c r="G21" s="8"/>
      <c r="H21" s="8"/>
      <c r="I21" s="8"/>
      <c r="J21" s="8"/>
      <c r="K21" s="8"/>
      <c r="L21" s="8"/>
      <c r="M21" s="8"/>
      <c r="N21" s="8"/>
      <c r="O21" s="8" t="s">
        <v>1320</v>
      </c>
      <c r="P21" s="8"/>
      <c r="Q21" s="8"/>
      <c r="R21" s="8"/>
      <c r="S21" s="8"/>
      <c r="T21" s="8"/>
      <c r="U21" s="8"/>
      <c r="V21" s="8"/>
      <c r="W21" s="8"/>
      <c r="X21" s="8"/>
      <c r="Y21" s="8"/>
      <c r="Z21" s="8"/>
      <c r="AA21" s="8"/>
      <c r="AB21" s="8"/>
      <c r="AC21" s="8"/>
      <c r="AD21" s="8" t="s">
        <v>1321</v>
      </c>
      <c r="AE21" s="8"/>
      <c r="AF21" s="8"/>
      <c r="AG21" s="8"/>
      <c r="AH21" s="8"/>
      <c r="AI21" s="8"/>
      <c r="AJ21" s="8"/>
      <c r="AK21" s="8"/>
      <c r="AL21" s="8"/>
      <c r="AM21" s="8"/>
      <c r="AN21" s="8"/>
      <c r="AO21" s="8"/>
      <c r="AP21" s="8"/>
      <c r="AQ21" s="8"/>
      <c r="AR21" s="8"/>
      <c r="AS21" s="8"/>
      <c r="AT21" s="8"/>
      <c r="AU21" s="8"/>
      <c r="AV21" s="8"/>
    </row>
    <row r="22" spans="1:48" ht="46" customHeight="1">
      <c r="A22" s="5" t="s">
        <v>1322</v>
      </c>
      <c r="B22" s="5"/>
      <c r="C22" s="5" t="s">
        <v>1323</v>
      </c>
      <c r="D22" s="5"/>
      <c r="E22" s="5"/>
      <c r="F22" s="5"/>
      <c r="G22" s="5"/>
      <c r="H22" s="5"/>
      <c r="I22" s="5"/>
      <c r="J22" s="5"/>
      <c r="K22" s="5"/>
      <c r="L22" s="5"/>
      <c r="M22" s="5"/>
      <c r="N22" s="5"/>
      <c r="O22" s="5" t="s">
        <v>1324</v>
      </c>
      <c r="P22" s="5"/>
      <c r="Q22" s="5"/>
      <c r="R22" s="5"/>
      <c r="S22" s="5"/>
      <c r="T22" s="5"/>
      <c r="U22" s="5"/>
      <c r="V22" s="5"/>
      <c r="W22" s="5"/>
      <c r="X22" s="5"/>
      <c r="Y22" s="5"/>
      <c r="Z22" s="5"/>
      <c r="AA22" s="5"/>
      <c r="AB22" s="5"/>
      <c r="AC22" s="5"/>
      <c r="AD22" s="5" t="s">
        <v>1325</v>
      </c>
      <c r="AE22" s="5"/>
      <c r="AF22" s="5"/>
      <c r="AG22" s="5"/>
      <c r="AH22" s="5"/>
      <c r="AI22" s="5"/>
      <c r="AJ22" s="5"/>
      <c r="AK22" s="5"/>
      <c r="AL22" s="5"/>
      <c r="AM22" s="5"/>
      <c r="AN22" s="5"/>
      <c r="AO22" s="5"/>
      <c r="AP22" s="5"/>
      <c r="AQ22" s="5"/>
      <c r="AR22" s="5"/>
      <c r="AS22" s="5"/>
      <c r="AT22" s="5"/>
      <c r="AU22" s="5"/>
      <c r="AV22" s="5"/>
    </row>
    <row r="23" spans="1:48" ht="46" customHeight="1">
      <c r="A23" s="8" t="s">
        <v>1326</v>
      </c>
      <c r="B23" s="8"/>
      <c r="C23" s="8" t="s">
        <v>1327</v>
      </c>
      <c r="D23" s="8"/>
      <c r="E23" s="8"/>
      <c r="F23" s="8"/>
      <c r="G23" s="8"/>
      <c r="H23" s="8"/>
      <c r="I23" s="8"/>
      <c r="J23" s="8"/>
      <c r="K23" s="8"/>
      <c r="L23" s="8"/>
      <c r="M23" s="8"/>
      <c r="N23" s="8"/>
      <c r="O23" s="8" t="s">
        <v>1328</v>
      </c>
      <c r="P23" s="8"/>
      <c r="Q23" s="8"/>
      <c r="R23" s="8"/>
      <c r="S23" s="8"/>
      <c r="T23" s="8"/>
      <c r="U23" s="8"/>
      <c r="V23" s="8"/>
      <c r="W23" s="8"/>
      <c r="X23" s="8"/>
      <c r="Y23" s="8"/>
      <c r="Z23" s="8"/>
      <c r="AA23" s="8"/>
      <c r="AB23" s="8"/>
      <c r="AC23" s="8"/>
      <c r="AD23" s="8" t="s">
        <v>1329</v>
      </c>
      <c r="AE23" s="8"/>
      <c r="AF23" s="8"/>
      <c r="AG23" s="8"/>
      <c r="AH23" s="8"/>
      <c r="AI23" s="8"/>
      <c r="AJ23" s="8"/>
      <c r="AK23" s="8"/>
      <c r="AL23" s="8"/>
      <c r="AM23" s="8"/>
      <c r="AN23" s="8"/>
      <c r="AO23" s="8"/>
      <c r="AP23" s="8"/>
      <c r="AQ23" s="8"/>
      <c r="AR23" s="8"/>
      <c r="AS23" s="8"/>
      <c r="AT23" s="8"/>
      <c r="AU23" s="8"/>
      <c r="AV23" s="8"/>
    </row>
    <row r="24" spans="1:48" ht="46" customHeight="1">
      <c r="A24" s="5" t="s">
        <v>1330</v>
      </c>
      <c r="B24" s="5"/>
      <c r="C24" s="5" t="s">
        <v>1331</v>
      </c>
      <c r="D24" s="5"/>
      <c r="E24" s="5"/>
      <c r="F24" s="5"/>
      <c r="G24" s="5"/>
      <c r="H24" s="5"/>
      <c r="I24" s="5"/>
      <c r="J24" s="5"/>
      <c r="K24" s="5"/>
      <c r="L24" s="5"/>
      <c r="M24" s="5"/>
      <c r="N24" s="5"/>
      <c r="O24" s="5" t="s">
        <v>1332</v>
      </c>
      <c r="P24" s="5"/>
      <c r="Q24" s="5"/>
      <c r="R24" s="5"/>
      <c r="S24" s="5"/>
      <c r="T24" s="5"/>
      <c r="U24" s="5"/>
      <c r="V24" s="5"/>
      <c r="W24" s="5"/>
      <c r="X24" s="5"/>
      <c r="Y24" s="5"/>
      <c r="Z24" s="5"/>
      <c r="AA24" s="5"/>
      <c r="AB24" s="5"/>
      <c r="AC24" s="5"/>
      <c r="AD24" s="5" t="s">
        <v>1333</v>
      </c>
      <c r="AE24" s="5"/>
      <c r="AF24" s="5"/>
      <c r="AG24" s="5"/>
      <c r="AH24" s="5"/>
      <c r="AI24" s="5"/>
      <c r="AJ24" s="5"/>
      <c r="AK24" s="5"/>
      <c r="AL24" s="5"/>
      <c r="AM24" s="5"/>
      <c r="AN24" s="5"/>
      <c r="AO24" s="5"/>
      <c r="AP24" s="5"/>
      <c r="AQ24" s="5"/>
      <c r="AR24" s="5"/>
      <c r="AS24" s="5"/>
      <c r="AT24" s="5"/>
      <c r="AU24" s="5"/>
      <c r="AV24" s="5"/>
    </row>
    <row r="25" spans="1:48" ht="29" customHeight="1">
      <c r="A25" s="8" t="s">
        <v>1334</v>
      </c>
      <c r="B25" s="8"/>
      <c r="C25" s="8" t="s">
        <v>1335</v>
      </c>
      <c r="D25" s="8"/>
      <c r="E25" s="8"/>
      <c r="F25" s="8"/>
      <c r="G25" s="8"/>
      <c r="H25" s="8"/>
      <c r="I25" s="8"/>
      <c r="J25" s="8"/>
      <c r="K25" s="8"/>
      <c r="L25" s="8"/>
      <c r="M25" s="8"/>
      <c r="N25" s="8"/>
      <c r="O25" s="8" t="s">
        <v>1336</v>
      </c>
      <c r="P25" s="8"/>
      <c r="Q25" s="8"/>
      <c r="R25" s="8"/>
      <c r="S25" s="8"/>
      <c r="T25" s="8"/>
      <c r="U25" s="8"/>
      <c r="V25" s="8"/>
      <c r="W25" s="8"/>
      <c r="X25" s="8"/>
      <c r="Y25" s="8"/>
      <c r="Z25" s="8"/>
      <c r="AA25" s="8"/>
      <c r="AB25" s="8"/>
      <c r="AC25" s="8"/>
      <c r="AD25" s="8" t="s">
        <v>1337</v>
      </c>
      <c r="AE25" s="8"/>
      <c r="AF25" s="8"/>
      <c r="AG25" s="8"/>
      <c r="AH25" s="8"/>
      <c r="AI25" s="8"/>
      <c r="AJ25" s="8"/>
      <c r="AK25" s="8"/>
      <c r="AL25" s="8"/>
      <c r="AM25" s="8"/>
      <c r="AN25" s="8"/>
      <c r="AO25" s="8"/>
      <c r="AP25" s="8"/>
      <c r="AQ25" s="8"/>
      <c r="AR25" s="8"/>
      <c r="AS25" s="8"/>
      <c r="AT25" s="8"/>
      <c r="AU25" s="8"/>
      <c r="AV25" s="8"/>
    </row>
    <row r="26" spans="1:48" ht="63" customHeight="1">
      <c r="A26" s="5" t="s">
        <v>1338</v>
      </c>
      <c r="B26" s="5"/>
      <c r="C26" s="5" t="s">
        <v>1339</v>
      </c>
      <c r="D26" s="5"/>
      <c r="E26" s="5"/>
      <c r="F26" s="5"/>
      <c r="G26" s="5"/>
      <c r="H26" s="5"/>
      <c r="I26" s="5"/>
      <c r="J26" s="5"/>
      <c r="K26" s="5"/>
      <c r="L26" s="5"/>
      <c r="M26" s="5"/>
      <c r="N26" s="5"/>
      <c r="O26" s="5" t="s">
        <v>1340</v>
      </c>
      <c r="P26" s="5"/>
      <c r="Q26" s="5"/>
      <c r="R26" s="5"/>
      <c r="S26" s="5"/>
      <c r="T26" s="5"/>
      <c r="U26" s="5"/>
      <c r="V26" s="5"/>
      <c r="W26" s="5"/>
      <c r="X26" s="5"/>
      <c r="Y26" s="5"/>
      <c r="Z26" s="5"/>
      <c r="AA26" s="5"/>
      <c r="AB26" s="5"/>
      <c r="AC26" s="5"/>
      <c r="AD26" s="5" t="s">
        <v>1341</v>
      </c>
      <c r="AE26" s="5"/>
      <c r="AF26" s="5"/>
      <c r="AG26" s="5"/>
      <c r="AH26" s="5"/>
      <c r="AI26" s="5"/>
      <c r="AJ26" s="5"/>
      <c r="AK26" s="5"/>
      <c r="AL26" s="5"/>
      <c r="AM26" s="5"/>
      <c r="AN26" s="5"/>
      <c r="AO26" s="5"/>
      <c r="AP26" s="5"/>
      <c r="AQ26" s="5"/>
      <c r="AR26" s="5"/>
      <c r="AS26" s="5"/>
      <c r="AT26" s="5"/>
      <c r="AU26" s="5"/>
      <c r="AV26" s="5"/>
    </row>
    <row r="27" spans="1:48" ht="46" customHeight="1">
      <c r="A27" s="8" t="s">
        <v>1342</v>
      </c>
      <c r="B27" s="8"/>
      <c r="C27" s="8" t="s">
        <v>1343</v>
      </c>
      <c r="D27" s="8"/>
      <c r="E27" s="8"/>
      <c r="F27" s="8"/>
      <c r="G27" s="8"/>
      <c r="H27" s="8"/>
      <c r="I27" s="8"/>
      <c r="J27" s="8"/>
      <c r="K27" s="8"/>
      <c r="L27" s="8"/>
      <c r="M27" s="8"/>
      <c r="N27" s="8"/>
      <c r="O27" s="8" t="s">
        <v>1344</v>
      </c>
      <c r="P27" s="8"/>
      <c r="Q27" s="8"/>
      <c r="R27" s="8"/>
      <c r="S27" s="8"/>
      <c r="T27" s="8"/>
      <c r="U27" s="8"/>
      <c r="V27" s="8"/>
      <c r="W27" s="8"/>
      <c r="X27" s="8"/>
      <c r="Y27" s="8"/>
      <c r="Z27" s="8"/>
      <c r="AA27" s="8"/>
      <c r="AB27" s="8"/>
      <c r="AC27" s="8"/>
      <c r="AD27" s="8" t="s">
        <v>1345</v>
      </c>
      <c r="AE27" s="8"/>
      <c r="AF27" s="8"/>
      <c r="AG27" s="8"/>
      <c r="AH27" s="8"/>
      <c r="AI27" s="8"/>
      <c r="AJ27" s="8"/>
      <c r="AK27" s="8"/>
      <c r="AL27" s="8"/>
      <c r="AM27" s="8"/>
      <c r="AN27" s="8"/>
      <c r="AO27" s="8"/>
      <c r="AP27" s="8"/>
      <c r="AQ27" s="8"/>
      <c r="AR27" s="8"/>
      <c r="AS27" s="8"/>
      <c r="AT27" s="8"/>
      <c r="AU27" s="8"/>
      <c r="AV27" s="8"/>
    </row>
    <row r="28" spans="1:48" ht="46" customHeight="1">
      <c r="A28" s="5" t="s">
        <v>1346</v>
      </c>
      <c r="B28" s="5"/>
      <c r="C28" s="5" t="s">
        <v>1347</v>
      </c>
      <c r="D28" s="5"/>
      <c r="E28" s="5"/>
      <c r="F28" s="5"/>
      <c r="G28" s="5"/>
      <c r="H28" s="5"/>
      <c r="I28" s="5"/>
      <c r="J28" s="5"/>
      <c r="K28" s="5"/>
      <c r="L28" s="5"/>
      <c r="M28" s="5"/>
      <c r="N28" s="5"/>
      <c r="O28" s="5" t="s">
        <v>1348</v>
      </c>
      <c r="P28" s="5"/>
      <c r="Q28" s="5"/>
      <c r="R28" s="5"/>
      <c r="S28" s="5"/>
      <c r="T28" s="5"/>
      <c r="U28" s="5"/>
      <c r="V28" s="5"/>
      <c r="W28" s="5"/>
      <c r="X28" s="5"/>
      <c r="Y28" s="5"/>
      <c r="Z28" s="5"/>
      <c r="AA28" s="5"/>
      <c r="AB28" s="5"/>
      <c r="AC28" s="5"/>
      <c r="AD28" s="5" t="s">
        <v>1349</v>
      </c>
      <c r="AE28" s="5"/>
      <c r="AF28" s="5"/>
      <c r="AG28" s="5"/>
      <c r="AH28" s="5"/>
      <c r="AI28" s="5"/>
      <c r="AJ28" s="5"/>
      <c r="AK28" s="5"/>
      <c r="AL28" s="5"/>
      <c r="AM28" s="5"/>
      <c r="AN28" s="5"/>
      <c r="AO28" s="5"/>
      <c r="AP28" s="5"/>
      <c r="AQ28" s="5"/>
      <c r="AR28" s="5"/>
      <c r="AS28" s="5"/>
      <c r="AT28" s="5"/>
      <c r="AU28" s="5"/>
      <c r="AV28" s="5"/>
    </row>
    <row r="29" spans="1:48" ht="46" customHeight="1">
      <c r="A29" s="8" t="s">
        <v>1350</v>
      </c>
      <c r="B29" s="8"/>
      <c r="C29" s="8" t="s">
        <v>1351</v>
      </c>
      <c r="D29" s="8"/>
      <c r="E29" s="8"/>
      <c r="F29" s="8"/>
      <c r="G29" s="8"/>
      <c r="H29" s="8"/>
      <c r="I29" s="8"/>
      <c r="J29" s="8"/>
      <c r="K29" s="8"/>
      <c r="L29" s="8"/>
      <c r="M29" s="8"/>
      <c r="N29" s="8"/>
      <c r="O29" s="8" t="s">
        <v>1352</v>
      </c>
      <c r="P29" s="8"/>
      <c r="Q29" s="8"/>
      <c r="R29" s="8"/>
      <c r="S29" s="8"/>
      <c r="T29" s="8"/>
      <c r="U29" s="8"/>
      <c r="V29" s="8"/>
      <c r="W29" s="8"/>
      <c r="X29" s="8"/>
      <c r="Y29" s="8"/>
      <c r="Z29" s="8"/>
      <c r="AA29" s="8"/>
      <c r="AB29" s="8"/>
      <c r="AC29" s="8"/>
      <c r="AD29" s="8" t="s">
        <v>1353</v>
      </c>
      <c r="AE29" s="8"/>
      <c r="AF29" s="8"/>
      <c r="AG29" s="8"/>
      <c r="AH29" s="8"/>
      <c r="AI29" s="8"/>
      <c r="AJ29" s="8"/>
      <c r="AK29" s="8"/>
      <c r="AL29" s="8"/>
      <c r="AM29" s="8"/>
      <c r="AN29" s="8"/>
      <c r="AO29" s="8"/>
      <c r="AP29" s="8"/>
      <c r="AQ29" s="8"/>
      <c r="AR29" s="8"/>
      <c r="AS29" s="8"/>
      <c r="AT29" s="8"/>
      <c r="AU29" s="8"/>
      <c r="AV29" s="8"/>
    </row>
    <row r="30" spans="1:48" ht="46" customHeight="1">
      <c r="A30" s="5" t="s">
        <v>1354</v>
      </c>
      <c r="B30" s="5"/>
      <c r="C30" s="5" t="s">
        <v>1355</v>
      </c>
      <c r="D30" s="5"/>
      <c r="E30" s="5"/>
      <c r="F30" s="5"/>
      <c r="G30" s="5"/>
      <c r="H30" s="5"/>
      <c r="I30" s="5"/>
      <c r="J30" s="5"/>
      <c r="K30" s="5"/>
      <c r="L30" s="5"/>
      <c r="M30" s="5"/>
      <c r="N30" s="5"/>
      <c r="O30" s="5" t="s">
        <v>1356</v>
      </c>
      <c r="P30" s="5"/>
      <c r="Q30" s="5"/>
      <c r="R30" s="5"/>
      <c r="S30" s="5"/>
      <c r="T30" s="5"/>
      <c r="U30" s="5"/>
      <c r="V30" s="5"/>
      <c r="W30" s="5"/>
      <c r="X30" s="5"/>
      <c r="Y30" s="5"/>
      <c r="Z30" s="5"/>
      <c r="AA30" s="5"/>
      <c r="AB30" s="5"/>
      <c r="AC30" s="5"/>
      <c r="AD30" s="5" t="s">
        <v>1357</v>
      </c>
      <c r="AE30" s="5"/>
      <c r="AF30" s="5"/>
      <c r="AG30" s="5"/>
      <c r="AH30" s="5"/>
      <c r="AI30" s="5"/>
      <c r="AJ30" s="5"/>
      <c r="AK30" s="5"/>
      <c r="AL30" s="5"/>
      <c r="AM30" s="5"/>
      <c r="AN30" s="5"/>
      <c r="AO30" s="5"/>
      <c r="AP30" s="5"/>
      <c r="AQ30" s="5"/>
      <c r="AR30" s="5"/>
      <c r="AS30" s="5"/>
      <c r="AT30" s="5"/>
      <c r="AU30" s="5"/>
      <c r="AV30" s="5"/>
    </row>
    <row r="31" spans="1:48" ht="46" customHeight="1">
      <c r="A31" s="8" t="s">
        <v>1358</v>
      </c>
      <c r="B31" s="8"/>
      <c r="C31" s="8" t="s">
        <v>1359</v>
      </c>
      <c r="D31" s="8"/>
      <c r="E31" s="8"/>
      <c r="F31" s="8"/>
      <c r="G31" s="8"/>
      <c r="H31" s="8"/>
      <c r="I31" s="8"/>
      <c r="J31" s="8"/>
      <c r="K31" s="8"/>
      <c r="L31" s="8"/>
      <c r="M31" s="8"/>
      <c r="N31" s="8"/>
      <c r="O31" s="8" t="s">
        <v>1360</v>
      </c>
      <c r="P31" s="8"/>
      <c r="Q31" s="8"/>
      <c r="R31" s="8"/>
      <c r="S31" s="8"/>
      <c r="T31" s="8"/>
      <c r="U31" s="8"/>
      <c r="V31" s="8"/>
      <c r="W31" s="8"/>
      <c r="X31" s="8"/>
      <c r="Y31" s="8"/>
      <c r="Z31" s="8"/>
      <c r="AA31" s="8"/>
      <c r="AB31" s="8"/>
      <c r="AC31" s="8"/>
      <c r="AD31" s="8" t="s">
        <v>1361</v>
      </c>
      <c r="AE31" s="8"/>
      <c r="AF31" s="8"/>
      <c r="AG31" s="8"/>
      <c r="AH31" s="8"/>
      <c r="AI31" s="8"/>
      <c r="AJ31" s="8"/>
      <c r="AK31" s="8"/>
      <c r="AL31" s="8"/>
      <c r="AM31" s="8"/>
      <c r="AN31" s="8"/>
      <c r="AO31" s="8"/>
      <c r="AP31" s="8"/>
      <c r="AQ31" s="8"/>
      <c r="AR31" s="8"/>
      <c r="AS31" s="8"/>
      <c r="AT31" s="8"/>
      <c r="AU31" s="8"/>
      <c r="AV31" s="8"/>
    </row>
    <row r="32" spans="1:48" ht="63" customHeight="1">
      <c r="A32" s="5" t="s">
        <v>1362</v>
      </c>
      <c r="B32" s="5"/>
      <c r="C32" s="5" t="s">
        <v>1363</v>
      </c>
      <c r="D32" s="5"/>
      <c r="E32" s="5"/>
      <c r="F32" s="5"/>
      <c r="G32" s="5"/>
      <c r="H32" s="5"/>
      <c r="I32" s="5"/>
      <c r="J32" s="5"/>
      <c r="K32" s="5"/>
      <c r="L32" s="5"/>
      <c r="M32" s="5"/>
      <c r="N32" s="5"/>
      <c r="O32" s="5" t="s">
        <v>1364</v>
      </c>
      <c r="P32" s="5"/>
      <c r="Q32" s="5"/>
      <c r="R32" s="5"/>
      <c r="S32" s="5"/>
      <c r="T32" s="5"/>
      <c r="U32" s="5"/>
      <c r="V32" s="5"/>
      <c r="W32" s="5"/>
      <c r="X32" s="5"/>
      <c r="Y32" s="5"/>
      <c r="Z32" s="5"/>
      <c r="AA32" s="5"/>
      <c r="AB32" s="5"/>
      <c r="AC32" s="5"/>
      <c r="AD32" s="5" t="s">
        <v>1365</v>
      </c>
      <c r="AE32" s="5"/>
      <c r="AF32" s="5"/>
      <c r="AG32" s="5"/>
      <c r="AH32" s="5"/>
      <c r="AI32" s="5"/>
      <c r="AJ32" s="5"/>
      <c r="AK32" s="5"/>
      <c r="AL32" s="5"/>
      <c r="AM32" s="5"/>
      <c r="AN32" s="5"/>
      <c r="AO32" s="5"/>
      <c r="AP32" s="5"/>
      <c r="AQ32" s="5"/>
      <c r="AR32" s="5"/>
      <c r="AS32" s="5"/>
      <c r="AT32" s="5"/>
      <c r="AU32" s="5"/>
      <c r="AV32" s="5"/>
    </row>
    <row r="33" spans="1:48" ht="63" customHeight="1">
      <c r="A33" s="8" t="s">
        <v>1366</v>
      </c>
      <c r="B33" s="8"/>
      <c r="C33" s="8" t="s">
        <v>1367</v>
      </c>
      <c r="D33" s="8"/>
      <c r="E33" s="8"/>
      <c r="F33" s="8"/>
      <c r="G33" s="8"/>
      <c r="H33" s="8"/>
      <c r="I33" s="8"/>
      <c r="J33" s="8"/>
      <c r="K33" s="8"/>
      <c r="L33" s="8"/>
      <c r="M33" s="8"/>
      <c r="N33" s="8"/>
      <c r="O33" s="8" t="s">
        <v>1368</v>
      </c>
      <c r="P33" s="8"/>
      <c r="Q33" s="8"/>
      <c r="R33" s="8"/>
      <c r="S33" s="8"/>
      <c r="T33" s="8"/>
      <c r="U33" s="8"/>
      <c r="V33" s="8"/>
      <c r="W33" s="8"/>
      <c r="X33" s="8"/>
      <c r="Y33" s="8"/>
      <c r="Z33" s="8"/>
      <c r="AA33" s="8"/>
      <c r="AB33" s="8"/>
      <c r="AC33" s="8"/>
      <c r="AD33" s="8" t="s">
        <v>1369</v>
      </c>
      <c r="AE33" s="8"/>
      <c r="AF33" s="8"/>
      <c r="AG33" s="8"/>
      <c r="AH33" s="8"/>
      <c r="AI33" s="8"/>
      <c r="AJ33" s="8"/>
      <c r="AK33" s="8"/>
      <c r="AL33" s="8"/>
      <c r="AM33" s="8"/>
      <c r="AN33" s="8"/>
      <c r="AO33" s="8"/>
      <c r="AP33" s="8"/>
      <c r="AQ33" s="8"/>
      <c r="AR33" s="8"/>
      <c r="AS33" s="8"/>
      <c r="AT33" s="8"/>
      <c r="AU33" s="8"/>
      <c r="AV33" s="8"/>
    </row>
    <row r="34" spans="1:48" ht="80" customHeight="1">
      <c r="A34" s="5" t="s">
        <v>1370</v>
      </c>
      <c r="B34" s="5"/>
      <c r="C34" s="5" t="s">
        <v>1371</v>
      </c>
      <c r="D34" s="5"/>
      <c r="E34" s="5"/>
      <c r="F34" s="5"/>
      <c r="G34" s="5"/>
      <c r="H34" s="5"/>
      <c r="I34" s="5"/>
      <c r="J34" s="5"/>
      <c r="K34" s="5"/>
      <c r="L34" s="5"/>
      <c r="M34" s="5"/>
      <c r="N34" s="5"/>
      <c r="O34" s="5" t="s">
        <v>1372</v>
      </c>
      <c r="P34" s="5"/>
      <c r="Q34" s="5"/>
      <c r="R34" s="5"/>
      <c r="S34" s="5"/>
      <c r="T34" s="5"/>
      <c r="U34" s="5"/>
      <c r="V34" s="5"/>
      <c r="W34" s="5"/>
      <c r="X34" s="5"/>
      <c r="Y34" s="5"/>
      <c r="Z34" s="5"/>
      <c r="AA34" s="5"/>
      <c r="AB34" s="5"/>
      <c r="AC34" s="5"/>
      <c r="AD34" s="5" t="s">
        <v>1373</v>
      </c>
      <c r="AE34" s="5"/>
      <c r="AF34" s="5"/>
      <c r="AG34" s="5"/>
      <c r="AH34" s="5"/>
      <c r="AI34" s="5"/>
      <c r="AJ34" s="5"/>
      <c r="AK34" s="5"/>
      <c r="AL34" s="5"/>
      <c r="AM34" s="5"/>
      <c r="AN34" s="5"/>
      <c r="AO34" s="5"/>
      <c r="AP34" s="5"/>
      <c r="AQ34" s="5"/>
      <c r="AR34" s="5"/>
      <c r="AS34" s="5"/>
      <c r="AT34" s="5"/>
      <c r="AU34" s="5"/>
      <c r="AV34" s="5"/>
    </row>
    <row r="35" spans="1:48" ht="80" customHeight="1">
      <c r="A35" s="8" t="s">
        <v>1374</v>
      </c>
      <c r="B35" s="8"/>
      <c r="C35" s="8" t="s">
        <v>1375</v>
      </c>
      <c r="D35" s="8"/>
      <c r="E35" s="8"/>
      <c r="F35" s="8"/>
      <c r="G35" s="8"/>
      <c r="H35" s="8"/>
      <c r="I35" s="8"/>
      <c r="J35" s="8"/>
      <c r="K35" s="8"/>
      <c r="L35" s="8"/>
      <c r="M35" s="8"/>
      <c r="N35" s="8"/>
      <c r="O35" s="8" t="s">
        <v>1376</v>
      </c>
      <c r="P35" s="8"/>
      <c r="Q35" s="8"/>
      <c r="R35" s="8"/>
      <c r="S35" s="8"/>
      <c r="T35" s="8"/>
      <c r="U35" s="8"/>
      <c r="V35" s="8"/>
      <c r="W35" s="8"/>
      <c r="X35" s="8"/>
      <c r="Y35" s="8"/>
      <c r="Z35" s="8"/>
      <c r="AA35" s="8"/>
      <c r="AB35" s="8"/>
      <c r="AC35" s="8"/>
      <c r="AD35" s="8" t="s">
        <v>1377</v>
      </c>
      <c r="AE35" s="8"/>
      <c r="AF35" s="8"/>
      <c r="AG35" s="8"/>
      <c r="AH35" s="8"/>
      <c r="AI35" s="8"/>
      <c r="AJ35" s="8"/>
      <c r="AK35" s="8"/>
      <c r="AL35" s="8"/>
      <c r="AM35" s="8"/>
      <c r="AN35" s="8"/>
      <c r="AO35" s="8"/>
      <c r="AP35" s="8"/>
      <c r="AQ35" s="8"/>
      <c r="AR35" s="8"/>
      <c r="AS35" s="8"/>
      <c r="AT35" s="8"/>
      <c r="AU35" s="8"/>
      <c r="AV35" s="8"/>
    </row>
    <row r="36" spans="1:48" ht="46" customHeight="1">
      <c r="A36" s="5" t="s">
        <v>1378</v>
      </c>
      <c r="B36" s="5"/>
      <c r="C36" s="5" t="s">
        <v>1379</v>
      </c>
      <c r="D36" s="5"/>
      <c r="E36" s="5"/>
      <c r="F36" s="5"/>
      <c r="G36" s="5"/>
      <c r="H36" s="5"/>
      <c r="I36" s="5"/>
      <c r="J36" s="5"/>
      <c r="K36" s="5"/>
      <c r="L36" s="5"/>
      <c r="M36" s="5"/>
      <c r="N36" s="5"/>
      <c r="O36" s="5" t="s">
        <v>1380</v>
      </c>
      <c r="P36" s="5"/>
      <c r="Q36" s="5"/>
      <c r="R36" s="5"/>
      <c r="S36" s="5"/>
      <c r="T36" s="5"/>
      <c r="U36" s="5"/>
      <c r="V36" s="5"/>
      <c r="W36" s="5"/>
      <c r="X36" s="5"/>
      <c r="Y36" s="5"/>
      <c r="Z36" s="5"/>
      <c r="AA36" s="5"/>
      <c r="AB36" s="5"/>
      <c r="AC36" s="5"/>
      <c r="AD36" s="5" t="s">
        <v>1381</v>
      </c>
      <c r="AE36" s="5"/>
      <c r="AF36" s="5"/>
      <c r="AG36" s="5"/>
      <c r="AH36" s="5"/>
      <c r="AI36" s="5"/>
      <c r="AJ36" s="5"/>
      <c r="AK36" s="5"/>
      <c r="AL36" s="5"/>
      <c r="AM36" s="5"/>
      <c r="AN36" s="5"/>
      <c r="AO36" s="5"/>
      <c r="AP36" s="5"/>
      <c r="AQ36" s="5"/>
      <c r="AR36" s="5"/>
      <c r="AS36" s="5"/>
      <c r="AT36" s="5"/>
      <c r="AU36" s="5"/>
      <c r="AV36" s="5"/>
    </row>
    <row r="37" spans="1:48" ht="63" customHeight="1">
      <c r="A37" s="8" t="s">
        <v>1382</v>
      </c>
      <c r="B37" s="8"/>
      <c r="C37" s="8" t="s">
        <v>1383</v>
      </c>
      <c r="D37" s="8"/>
      <c r="E37" s="8"/>
      <c r="F37" s="8"/>
      <c r="G37" s="8"/>
      <c r="H37" s="8"/>
      <c r="I37" s="8"/>
      <c r="J37" s="8"/>
      <c r="K37" s="8"/>
      <c r="L37" s="8"/>
      <c r="M37" s="8"/>
      <c r="N37" s="8"/>
      <c r="O37" s="8" t="s">
        <v>1384</v>
      </c>
      <c r="P37" s="8"/>
      <c r="Q37" s="8"/>
      <c r="R37" s="8"/>
      <c r="S37" s="8"/>
      <c r="T37" s="8"/>
      <c r="U37" s="8"/>
      <c r="V37" s="8"/>
      <c r="W37" s="8"/>
      <c r="X37" s="8"/>
      <c r="Y37" s="8"/>
      <c r="Z37" s="8"/>
      <c r="AA37" s="8"/>
      <c r="AB37" s="8"/>
      <c r="AC37" s="8"/>
      <c r="AD37" s="8" t="s">
        <v>1385</v>
      </c>
      <c r="AE37" s="8"/>
      <c r="AF37" s="8"/>
      <c r="AG37" s="8"/>
      <c r="AH37" s="8"/>
      <c r="AI37" s="8"/>
      <c r="AJ37" s="8"/>
      <c r="AK37" s="8"/>
      <c r="AL37" s="8"/>
      <c r="AM37" s="8"/>
      <c r="AN37" s="8"/>
      <c r="AO37" s="8"/>
      <c r="AP37" s="8"/>
      <c r="AQ37" s="8"/>
      <c r="AR37" s="8"/>
      <c r="AS37" s="8"/>
      <c r="AT37" s="8"/>
      <c r="AU37" s="8"/>
      <c r="AV37" s="8"/>
    </row>
    <row r="38" spans="1:48" ht="46" customHeight="1">
      <c r="A38" s="5" t="s">
        <v>1386</v>
      </c>
      <c r="B38" s="5"/>
      <c r="C38" s="5" t="s">
        <v>1387</v>
      </c>
      <c r="D38" s="5"/>
      <c r="E38" s="5"/>
      <c r="F38" s="5"/>
      <c r="G38" s="5"/>
      <c r="H38" s="5"/>
      <c r="I38" s="5"/>
      <c r="J38" s="5"/>
      <c r="K38" s="5"/>
      <c r="L38" s="5"/>
      <c r="M38" s="5"/>
      <c r="N38" s="5"/>
      <c r="O38" s="5" t="s">
        <v>1388</v>
      </c>
      <c r="P38" s="5"/>
      <c r="Q38" s="5"/>
      <c r="R38" s="5"/>
      <c r="S38" s="5"/>
      <c r="T38" s="5"/>
      <c r="U38" s="5"/>
      <c r="V38" s="5"/>
      <c r="W38" s="5"/>
      <c r="X38" s="5"/>
      <c r="Y38" s="5"/>
      <c r="Z38" s="5"/>
      <c r="AA38" s="5"/>
      <c r="AB38" s="5"/>
      <c r="AC38" s="5"/>
      <c r="AD38" s="5" t="s">
        <v>1389</v>
      </c>
      <c r="AE38" s="5"/>
      <c r="AF38" s="5"/>
      <c r="AG38" s="5"/>
      <c r="AH38" s="5"/>
      <c r="AI38" s="5"/>
      <c r="AJ38" s="5"/>
      <c r="AK38" s="5"/>
      <c r="AL38" s="5"/>
      <c r="AM38" s="5"/>
      <c r="AN38" s="5"/>
      <c r="AO38" s="5"/>
      <c r="AP38" s="5"/>
      <c r="AQ38" s="5"/>
      <c r="AR38" s="5"/>
      <c r="AS38" s="5"/>
      <c r="AT38" s="5"/>
      <c r="AU38" s="5"/>
      <c r="AV38" s="5"/>
    </row>
    <row r="39" spans="1:48" ht="46" customHeight="1">
      <c r="A39" s="8" t="s">
        <v>1390</v>
      </c>
      <c r="B39" s="8"/>
      <c r="C39" s="8" t="s">
        <v>1391</v>
      </c>
      <c r="D39" s="8"/>
      <c r="E39" s="8"/>
      <c r="F39" s="8"/>
      <c r="G39" s="8"/>
      <c r="H39" s="8"/>
      <c r="I39" s="8"/>
      <c r="J39" s="8"/>
      <c r="K39" s="8"/>
      <c r="L39" s="8"/>
      <c r="M39" s="8"/>
      <c r="N39" s="8"/>
      <c r="O39" s="8" t="s">
        <v>1392</v>
      </c>
      <c r="P39" s="8"/>
      <c r="Q39" s="8"/>
      <c r="R39" s="8"/>
      <c r="S39" s="8"/>
      <c r="T39" s="8"/>
      <c r="U39" s="8"/>
      <c r="V39" s="8"/>
      <c r="W39" s="8"/>
      <c r="X39" s="8"/>
      <c r="Y39" s="8"/>
      <c r="Z39" s="8"/>
      <c r="AA39" s="8"/>
      <c r="AB39" s="8"/>
      <c r="AC39" s="8"/>
      <c r="AD39" s="8" t="s">
        <v>1393</v>
      </c>
      <c r="AE39" s="8"/>
      <c r="AF39" s="8"/>
      <c r="AG39" s="8"/>
      <c r="AH39" s="8"/>
      <c r="AI39" s="8"/>
      <c r="AJ39" s="8"/>
      <c r="AK39" s="8"/>
      <c r="AL39" s="8"/>
      <c r="AM39" s="8"/>
      <c r="AN39" s="8"/>
      <c r="AO39" s="8"/>
      <c r="AP39" s="8"/>
      <c r="AQ39" s="8"/>
      <c r="AR39" s="8"/>
      <c r="AS39" s="8"/>
      <c r="AT39" s="8"/>
      <c r="AU39" s="8"/>
      <c r="AV39" s="8"/>
    </row>
    <row r="40" spans="1:48" ht="46" customHeight="1">
      <c r="A40" s="5" t="s">
        <v>1394</v>
      </c>
      <c r="B40" s="5"/>
      <c r="C40" s="5" t="s">
        <v>1395</v>
      </c>
      <c r="D40" s="5"/>
      <c r="E40" s="5"/>
      <c r="F40" s="5"/>
      <c r="G40" s="5"/>
      <c r="H40" s="5"/>
      <c r="I40" s="5"/>
      <c r="J40" s="5"/>
      <c r="K40" s="5"/>
      <c r="L40" s="5"/>
      <c r="M40" s="5"/>
      <c r="N40" s="5"/>
      <c r="O40" s="5" t="s">
        <v>1396</v>
      </c>
      <c r="P40" s="5"/>
      <c r="Q40" s="5"/>
      <c r="R40" s="5"/>
      <c r="S40" s="5"/>
      <c r="T40" s="5"/>
      <c r="U40" s="5"/>
      <c r="V40" s="5"/>
      <c r="W40" s="5"/>
      <c r="X40" s="5"/>
      <c r="Y40" s="5"/>
      <c r="Z40" s="5"/>
      <c r="AA40" s="5"/>
      <c r="AB40" s="5"/>
      <c r="AC40" s="5"/>
      <c r="AD40" s="5" t="s">
        <v>1397</v>
      </c>
      <c r="AE40" s="5"/>
      <c r="AF40" s="5"/>
      <c r="AG40" s="5"/>
      <c r="AH40" s="5"/>
      <c r="AI40" s="5"/>
      <c r="AJ40" s="5"/>
      <c r="AK40" s="5"/>
      <c r="AL40" s="5"/>
      <c r="AM40" s="5"/>
      <c r="AN40" s="5"/>
      <c r="AO40" s="5"/>
      <c r="AP40" s="5"/>
      <c r="AQ40" s="5"/>
      <c r="AR40" s="5"/>
      <c r="AS40" s="5"/>
      <c r="AT40" s="5"/>
      <c r="AU40" s="5"/>
      <c r="AV40" s="5"/>
    </row>
    <row r="41" spans="1:48" ht="29" customHeight="1">
      <c r="A41" s="8" t="s">
        <v>1398</v>
      </c>
      <c r="B41" s="8"/>
      <c r="C41" s="8" t="s">
        <v>1399</v>
      </c>
      <c r="D41" s="8"/>
      <c r="E41" s="8"/>
      <c r="F41" s="8"/>
      <c r="G41" s="8"/>
      <c r="H41" s="8"/>
      <c r="I41" s="8"/>
      <c r="J41" s="8"/>
      <c r="K41" s="8"/>
      <c r="L41" s="8"/>
      <c r="M41" s="8"/>
      <c r="N41" s="8"/>
      <c r="O41" s="8" t="s">
        <v>1400</v>
      </c>
      <c r="P41" s="8"/>
      <c r="Q41" s="8"/>
      <c r="R41" s="8"/>
      <c r="S41" s="8"/>
      <c r="T41" s="8"/>
      <c r="U41" s="8"/>
      <c r="V41" s="8"/>
      <c r="W41" s="8"/>
      <c r="X41" s="8"/>
      <c r="Y41" s="8"/>
      <c r="Z41" s="8"/>
      <c r="AA41" s="8"/>
      <c r="AB41" s="8"/>
      <c r="AC41" s="8"/>
      <c r="AD41" s="8" t="s">
        <v>1401</v>
      </c>
      <c r="AE41" s="8"/>
      <c r="AF41" s="8"/>
      <c r="AG41" s="8"/>
      <c r="AH41" s="8"/>
      <c r="AI41" s="8"/>
      <c r="AJ41" s="8"/>
      <c r="AK41" s="8"/>
      <c r="AL41" s="8"/>
      <c r="AM41" s="8"/>
      <c r="AN41" s="8"/>
      <c r="AO41" s="8"/>
      <c r="AP41" s="8"/>
      <c r="AQ41" s="8"/>
      <c r="AR41" s="8"/>
      <c r="AS41" s="8"/>
      <c r="AT41" s="8"/>
      <c r="AU41" s="8"/>
      <c r="AV41" s="8"/>
    </row>
    <row r="42" spans="1:48" ht="46" customHeight="1">
      <c r="A42" s="5" t="s">
        <v>1402</v>
      </c>
      <c r="B42" s="5"/>
      <c r="C42" s="5" t="s">
        <v>1403</v>
      </c>
      <c r="D42" s="5"/>
      <c r="E42" s="5"/>
      <c r="F42" s="5"/>
      <c r="G42" s="5"/>
      <c r="H42" s="5"/>
      <c r="I42" s="5"/>
      <c r="J42" s="5"/>
      <c r="K42" s="5"/>
      <c r="L42" s="5"/>
      <c r="M42" s="5"/>
      <c r="N42" s="5"/>
      <c r="O42" s="5" t="s">
        <v>1404</v>
      </c>
      <c r="P42" s="5"/>
      <c r="Q42" s="5"/>
      <c r="R42" s="5"/>
      <c r="S42" s="5"/>
      <c r="T42" s="5"/>
      <c r="U42" s="5"/>
      <c r="V42" s="5"/>
      <c r="W42" s="5"/>
      <c r="X42" s="5"/>
      <c r="Y42" s="5"/>
      <c r="Z42" s="5"/>
      <c r="AA42" s="5"/>
      <c r="AB42" s="5"/>
      <c r="AC42" s="5"/>
      <c r="AD42" s="5" t="s">
        <v>1405</v>
      </c>
      <c r="AE42" s="5"/>
      <c r="AF42" s="5"/>
      <c r="AG42" s="5"/>
      <c r="AH42" s="5"/>
      <c r="AI42" s="5"/>
      <c r="AJ42" s="5"/>
      <c r="AK42" s="5"/>
      <c r="AL42" s="5"/>
      <c r="AM42" s="5"/>
      <c r="AN42" s="5"/>
      <c r="AO42" s="5"/>
      <c r="AP42" s="5"/>
      <c r="AQ42" s="5"/>
      <c r="AR42" s="5"/>
      <c r="AS42" s="5"/>
      <c r="AT42" s="5"/>
      <c r="AU42" s="5"/>
      <c r="AV42" s="5"/>
    </row>
    <row r="43" spans="1:48" ht="46" customHeight="1">
      <c r="A43" s="8" t="s">
        <v>1406</v>
      </c>
      <c r="B43" s="8"/>
      <c r="C43" s="8" t="s">
        <v>1407</v>
      </c>
      <c r="D43" s="8"/>
      <c r="E43" s="8"/>
      <c r="F43" s="8"/>
      <c r="G43" s="8"/>
      <c r="H43" s="8"/>
      <c r="I43" s="8"/>
      <c r="J43" s="8"/>
      <c r="K43" s="8"/>
      <c r="L43" s="8"/>
      <c r="M43" s="8"/>
      <c r="N43" s="8"/>
      <c r="O43" s="8" t="s">
        <v>1408</v>
      </c>
      <c r="P43" s="8"/>
      <c r="Q43" s="8"/>
      <c r="R43" s="8"/>
      <c r="S43" s="8"/>
      <c r="T43" s="8"/>
      <c r="U43" s="8"/>
      <c r="V43" s="8"/>
      <c r="W43" s="8"/>
      <c r="X43" s="8"/>
      <c r="Y43" s="8"/>
      <c r="Z43" s="8"/>
      <c r="AA43" s="8"/>
      <c r="AB43" s="8"/>
      <c r="AC43" s="8"/>
      <c r="AD43" s="8" t="s">
        <v>1409</v>
      </c>
      <c r="AE43" s="8"/>
      <c r="AF43" s="8"/>
      <c r="AG43" s="8"/>
      <c r="AH43" s="8"/>
      <c r="AI43" s="8"/>
      <c r="AJ43" s="8"/>
      <c r="AK43" s="8"/>
      <c r="AL43" s="8"/>
      <c r="AM43" s="8"/>
      <c r="AN43" s="8"/>
      <c r="AO43" s="8"/>
      <c r="AP43" s="8"/>
      <c r="AQ43" s="8"/>
      <c r="AR43" s="8"/>
      <c r="AS43" s="8"/>
      <c r="AT43" s="8"/>
      <c r="AU43" s="8"/>
      <c r="AV43" s="8"/>
    </row>
    <row r="44" spans="1:48" ht="46" customHeight="1">
      <c r="A44" s="5" t="s">
        <v>1410</v>
      </c>
      <c r="B44" s="5"/>
      <c r="C44" s="5" t="s">
        <v>1411</v>
      </c>
      <c r="D44" s="5"/>
      <c r="E44" s="5"/>
      <c r="F44" s="5"/>
      <c r="G44" s="5"/>
      <c r="H44" s="5"/>
      <c r="I44" s="5"/>
      <c r="J44" s="5"/>
      <c r="K44" s="5"/>
      <c r="L44" s="5"/>
      <c r="M44" s="5"/>
      <c r="N44" s="5"/>
      <c r="O44" s="5" t="s">
        <v>1412</v>
      </c>
      <c r="P44" s="5"/>
      <c r="Q44" s="5"/>
      <c r="R44" s="5"/>
      <c r="S44" s="5"/>
      <c r="T44" s="5"/>
      <c r="U44" s="5"/>
      <c r="V44" s="5"/>
      <c r="W44" s="5"/>
      <c r="X44" s="5"/>
      <c r="Y44" s="5"/>
      <c r="Z44" s="5"/>
      <c r="AA44" s="5"/>
      <c r="AB44" s="5"/>
      <c r="AC44" s="5"/>
      <c r="AD44" s="5" t="s">
        <v>1413</v>
      </c>
      <c r="AE44" s="5"/>
      <c r="AF44" s="5"/>
      <c r="AG44" s="5"/>
      <c r="AH44" s="5"/>
      <c r="AI44" s="5"/>
      <c r="AJ44" s="5"/>
      <c r="AK44" s="5"/>
      <c r="AL44" s="5"/>
      <c r="AM44" s="5"/>
      <c r="AN44" s="5"/>
      <c r="AO44" s="5"/>
      <c r="AP44" s="5"/>
      <c r="AQ44" s="5"/>
      <c r="AR44" s="5"/>
      <c r="AS44" s="5"/>
      <c r="AT44" s="5"/>
      <c r="AU44" s="5"/>
      <c r="AV44" s="5"/>
    </row>
    <row r="45" spans="1:48" ht="46" customHeight="1">
      <c r="A45" s="8" t="s">
        <v>1414</v>
      </c>
      <c r="B45" s="8"/>
      <c r="C45" s="8" t="s">
        <v>1415</v>
      </c>
      <c r="D45" s="8"/>
      <c r="E45" s="8"/>
      <c r="F45" s="8"/>
      <c r="G45" s="8"/>
      <c r="H45" s="8"/>
      <c r="I45" s="8"/>
      <c r="J45" s="8"/>
      <c r="K45" s="8"/>
      <c r="L45" s="8"/>
      <c r="M45" s="8"/>
      <c r="N45" s="8"/>
      <c r="O45" s="8" t="s">
        <v>1416</v>
      </c>
      <c r="P45" s="8"/>
      <c r="Q45" s="8"/>
      <c r="R45" s="8"/>
      <c r="S45" s="8"/>
      <c r="T45" s="8"/>
      <c r="U45" s="8"/>
      <c r="V45" s="8"/>
      <c r="W45" s="8"/>
      <c r="X45" s="8"/>
      <c r="Y45" s="8"/>
      <c r="Z45" s="8"/>
      <c r="AA45" s="8"/>
      <c r="AB45" s="8"/>
      <c r="AC45" s="8"/>
      <c r="AD45" s="8" t="s">
        <v>1417</v>
      </c>
      <c r="AE45" s="8"/>
      <c r="AF45" s="8"/>
      <c r="AG45" s="8"/>
      <c r="AH45" s="8"/>
      <c r="AI45" s="8"/>
      <c r="AJ45" s="8"/>
      <c r="AK45" s="8"/>
      <c r="AL45" s="8"/>
      <c r="AM45" s="8"/>
      <c r="AN45" s="8"/>
      <c r="AO45" s="8"/>
      <c r="AP45" s="8"/>
      <c r="AQ45" s="8"/>
      <c r="AR45" s="8"/>
      <c r="AS45" s="8"/>
      <c r="AT45" s="8"/>
      <c r="AU45" s="8"/>
      <c r="AV45" s="8"/>
    </row>
    <row r="46" spans="1:48" ht="63" customHeight="1">
      <c r="A46" s="5" t="s">
        <v>1418</v>
      </c>
      <c r="B46" s="5"/>
      <c r="C46" s="5" t="s">
        <v>1419</v>
      </c>
      <c r="D46" s="5"/>
      <c r="E46" s="5"/>
      <c r="F46" s="5"/>
      <c r="G46" s="5"/>
      <c r="H46" s="5"/>
      <c r="I46" s="5"/>
      <c r="J46" s="5"/>
      <c r="K46" s="5"/>
      <c r="L46" s="5"/>
      <c r="M46" s="5"/>
      <c r="N46" s="5"/>
      <c r="O46" s="5" t="s">
        <v>1420</v>
      </c>
      <c r="P46" s="5"/>
      <c r="Q46" s="5"/>
      <c r="R46" s="5"/>
      <c r="S46" s="5"/>
      <c r="T46" s="5"/>
      <c r="U46" s="5"/>
      <c r="V46" s="5"/>
      <c r="W46" s="5"/>
      <c r="X46" s="5"/>
      <c r="Y46" s="5"/>
      <c r="Z46" s="5"/>
      <c r="AA46" s="5"/>
      <c r="AB46" s="5"/>
      <c r="AC46" s="5"/>
      <c r="AD46" s="5" t="s">
        <v>1421</v>
      </c>
      <c r="AE46" s="5"/>
      <c r="AF46" s="5"/>
      <c r="AG46" s="5"/>
      <c r="AH46" s="5"/>
      <c r="AI46" s="5"/>
      <c r="AJ46" s="5"/>
      <c r="AK46" s="5"/>
      <c r="AL46" s="5"/>
      <c r="AM46" s="5"/>
      <c r="AN46" s="5"/>
      <c r="AO46" s="5"/>
      <c r="AP46" s="5"/>
      <c r="AQ46" s="5"/>
      <c r="AR46" s="5"/>
      <c r="AS46" s="5"/>
      <c r="AT46" s="5"/>
      <c r="AU46" s="5"/>
      <c r="AV46" s="5"/>
    </row>
    <row r="47" spans="1:48" ht="10" customHeight="1"/>
    <row r="48" spans="1:48" ht="46" customHeight="1">
      <c r="A48" s="6" t="s">
        <v>1422</v>
      </c>
      <c r="B48" s="6"/>
      <c r="C48" s="6"/>
      <c r="D48" s="6"/>
      <c r="E48" s="6"/>
      <c r="F48" s="6"/>
      <c r="G48" s="6"/>
      <c r="H48" s="6"/>
      <c r="I48" s="6"/>
      <c r="J48" s="6"/>
      <c r="K48" s="5" t="s">
        <v>1423</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ht="8" customHeight="1"/>
    <row r="50" spans="1:48" ht="63" customHeight="1">
      <c r="A50" s="6" t="s">
        <v>1424</v>
      </c>
      <c r="B50" s="6"/>
      <c r="C50" s="6"/>
      <c r="D50" s="6"/>
      <c r="E50" s="6"/>
      <c r="F50" s="6"/>
      <c r="G50" s="6"/>
      <c r="H50" s="6"/>
      <c r="I50" s="6"/>
      <c r="J50" s="6"/>
      <c r="K50" s="5" t="s">
        <v>1425</v>
      </c>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ht="21" customHeight="1">
      <c r="A51" s="9" t="s">
        <v>56</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row>
    <row r="52" spans="1:48" ht="8" customHeight="1"/>
    <row r="53" spans="1:48" ht="46" customHeight="1">
      <c r="A53" s="6" t="s">
        <v>1426</v>
      </c>
      <c r="B53" s="6"/>
      <c r="C53" s="6"/>
      <c r="D53" s="6"/>
      <c r="E53" s="6"/>
      <c r="F53" s="6"/>
      <c r="G53" s="6"/>
      <c r="H53" s="6"/>
      <c r="I53" s="6"/>
      <c r="J53" s="6"/>
      <c r="K53" s="5" t="s">
        <v>1427</v>
      </c>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ht="21" customHeight="1">
      <c r="A54" s="9" t="s">
        <v>1428</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row>
    <row r="55" spans="1:48" ht="8" customHeight="1"/>
    <row r="56" spans="1:48" ht="29" customHeight="1">
      <c r="A56" s="4" t="s">
        <v>1429</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row>
    <row r="57" spans="1:48" ht="30" customHeight="1">
      <c r="A57" s="7" t="s">
        <v>1430</v>
      </c>
      <c r="B57" s="7"/>
      <c r="C57" s="7"/>
      <c r="D57" s="7"/>
      <c r="E57" s="7"/>
      <c r="F57" s="7"/>
      <c r="G57" s="7"/>
      <c r="H57" s="7"/>
      <c r="I57" s="7"/>
      <c r="J57" s="7"/>
      <c r="K57" s="7"/>
      <c r="L57" s="7"/>
      <c r="M57" s="7" t="s">
        <v>1431</v>
      </c>
      <c r="N57" s="7"/>
      <c r="O57" s="7"/>
      <c r="P57" s="7"/>
      <c r="Q57" s="7"/>
      <c r="R57" s="7"/>
      <c r="S57" s="7"/>
      <c r="T57" s="7"/>
      <c r="U57" s="7"/>
      <c r="V57" s="7"/>
      <c r="W57" s="7"/>
      <c r="X57" s="7"/>
      <c r="Y57" s="7" t="s">
        <v>1432</v>
      </c>
      <c r="Z57" s="7"/>
      <c r="AA57" s="7"/>
      <c r="AB57" s="7"/>
      <c r="AC57" s="7"/>
      <c r="AD57" s="7"/>
      <c r="AE57" s="7"/>
      <c r="AF57" s="7"/>
      <c r="AG57" s="7"/>
      <c r="AH57" s="7"/>
      <c r="AI57" s="7"/>
      <c r="AJ57" s="7"/>
      <c r="AK57" s="7"/>
      <c r="AL57" s="7"/>
      <c r="AM57" s="7"/>
      <c r="AN57" s="7"/>
      <c r="AO57" s="7"/>
      <c r="AP57" s="7"/>
      <c r="AQ57" s="7"/>
      <c r="AR57" s="7"/>
      <c r="AS57" s="7"/>
      <c r="AT57" s="7"/>
      <c r="AU57" s="7"/>
      <c r="AV57" s="7"/>
    </row>
    <row r="58" spans="1:48" ht="46" customHeight="1">
      <c r="A58" s="5" t="s">
        <v>1433</v>
      </c>
      <c r="B58" s="5"/>
      <c r="C58" s="5"/>
      <c r="D58" s="5"/>
      <c r="E58" s="5"/>
      <c r="F58" s="5"/>
      <c r="G58" s="5"/>
      <c r="H58" s="5"/>
      <c r="I58" s="5"/>
      <c r="J58" s="5"/>
      <c r="K58" s="5"/>
      <c r="L58" s="5"/>
      <c r="M58" s="5" t="s">
        <v>1434</v>
      </c>
      <c r="N58" s="5"/>
      <c r="O58" s="5"/>
      <c r="P58" s="5"/>
      <c r="Q58" s="5"/>
      <c r="R58" s="5"/>
      <c r="S58" s="5"/>
      <c r="T58" s="5"/>
      <c r="U58" s="5"/>
      <c r="V58" s="5"/>
      <c r="W58" s="5"/>
      <c r="X58" s="5"/>
      <c r="Y58" s="5" t="s">
        <v>1435</v>
      </c>
      <c r="Z58" s="5"/>
      <c r="AA58" s="5"/>
      <c r="AB58" s="5"/>
      <c r="AC58" s="5"/>
      <c r="AD58" s="5"/>
      <c r="AE58" s="5"/>
      <c r="AF58" s="5"/>
      <c r="AG58" s="5"/>
      <c r="AH58" s="5"/>
      <c r="AI58" s="5"/>
      <c r="AJ58" s="5"/>
      <c r="AK58" s="5"/>
      <c r="AL58" s="5"/>
      <c r="AM58" s="5"/>
      <c r="AN58" s="5"/>
      <c r="AO58" s="5"/>
      <c r="AP58" s="5"/>
      <c r="AQ58" s="5"/>
      <c r="AR58" s="5"/>
      <c r="AS58" s="5"/>
      <c r="AT58" s="5"/>
      <c r="AU58" s="5"/>
      <c r="AV58" s="5"/>
    </row>
    <row r="59" spans="1:48" ht="46" customHeight="1">
      <c r="A59" s="8" t="s">
        <v>1436</v>
      </c>
      <c r="B59" s="8"/>
      <c r="C59" s="8"/>
      <c r="D59" s="8"/>
      <c r="E59" s="8"/>
      <c r="F59" s="8"/>
      <c r="G59" s="8"/>
      <c r="H59" s="8"/>
      <c r="I59" s="8"/>
      <c r="J59" s="8"/>
      <c r="K59" s="8"/>
      <c r="L59" s="8"/>
      <c r="M59" s="8" t="s">
        <v>1434</v>
      </c>
      <c r="N59" s="8"/>
      <c r="O59" s="8"/>
      <c r="P59" s="8"/>
      <c r="Q59" s="8"/>
      <c r="R59" s="8"/>
      <c r="S59" s="8"/>
      <c r="T59" s="8"/>
      <c r="U59" s="8"/>
      <c r="V59" s="8"/>
      <c r="W59" s="8"/>
      <c r="X59" s="8"/>
      <c r="Y59" s="8" t="s">
        <v>1437</v>
      </c>
      <c r="Z59" s="8"/>
      <c r="AA59" s="8"/>
      <c r="AB59" s="8"/>
      <c r="AC59" s="8"/>
      <c r="AD59" s="8"/>
      <c r="AE59" s="8"/>
      <c r="AF59" s="8"/>
      <c r="AG59" s="8"/>
      <c r="AH59" s="8"/>
      <c r="AI59" s="8"/>
      <c r="AJ59" s="8"/>
      <c r="AK59" s="8"/>
      <c r="AL59" s="8"/>
      <c r="AM59" s="8"/>
      <c r="AN59" s="8"/>
      <c r="AO59" s="8"/>
      <c r="AP59" s="8"/>
      <c r="AQ59" s="8"/>
      <c r="AR59" s="8"/>
      <c r="AS59" s="8"/>
      <c r="AT59" s="8"/>
      <c r="AU59" s="8"/>
      <c r="AV59" s="8"/>
    </row>
    <row r="60" spans="1:48" ht="46" customHeight="1">
      <c r="A60" s="5" t="s">
        <v>1438</v>
      </c>
      <c r="B60" s="5"/>
      <c r="C60" s="5"/>
      <c r="D60" s="5"/>
      <c r="E60" s="5"/>
      <c r="F60" s="5"/>
      <c r="G60" s="5"/>
      <c r="H60" s="5"/>
      <c r="I60" s="5"/>
      <c r="J60" s="5"/>
      <c r="K60" s="5"/>
      <c r="L60" s="5"/>
      <c r="M60" s="5" t="s">
        <v>1434</v>
      </c>
      <c r="N60" s="5"/>
      <c r="O60" s="5"/>
      <c r="P60" s="5"/>
      <c r="Q60" s="5"/>
      <c r="R60" s="5"/>
      <c r="S60" s="5"/>
      <c r="T60" s="5"/>
      <c r="U60" s="5"/>
      <c r="V60" s="5"/>
      <c r="W60" s="5"/>
      <c r="X60" s="5"/>
      <c r="Y60" s="5" t="s">
        <v>1439</v>
      </c>
      <c r="Z60" s="5"/>
      <c r="AA60" s="5"/>
      <c r="AB60" s="5"/>
      <c r="AC60" s="5"/>
      <c r="AD60" s="5"/>
      <c r="AE60" s="5"/>
      <c r="AF60" s="5"/>
      <c r="AG60" s="5"/>
      <c r="AH60" s="5"/>
      <c r="AI60" s="5"/>
      <c r="AJ60" s="5"/>
      <c r="AK60" s="5"/>
      <c r="AL60" s="5"/>
      <c r="AM60" s="5"/>
      <c r="AN60" s="5"/>
      <c r="AO60" s="5"/>
      <c r="AP60" s="5"/>
      <c r="AQ60" s="5"/>
      <c r="AR60" s="5"/>
      <c r="AS60" s="5"/>
      <c r="AT60" s="5"/>
      <c r="AU60" s="5"/>
      <c r="AV60" s="5"/>
    </row>
    <row r="61" spans="1:48" ht="29" customHeight="1">
      <c r="A61" s="8" t="s">
        <v>1440</v>
      </c>
      <c r="B61" s="8"/>
      <c r="C61" s="8"/>
      <c r="D61" s="8"/>
      <c r="E61" s="8"/>
      <c r="F61" s="8"/>
      <c r="G61" s="8"/>
      <c r="H61" s="8"/>
      <c r="I61" s="8"/>
      <c r="J61" s="8"/>
      <c r="K61" s="8"/>
      <c r="L61" s="8"/>
      <c r="M61" s="8" t="s">
        <v>1441</v>
      </c>
      <c r="N61" s="8"/>
      <c r="O61" s="8"/>
      <c r="P61" s="8"/>
      <c r="Q61" s="8"/>
      <c r="R61" s="8"/>
      <c r="S61" s="8"/>
      <c r="T61" s="8"/>
      <c r="U61" s="8"/>
      <c r="V61" s="8"/>
      <c r="W61" s="8"/>
      <c r="X61" s="8"/>
      <c r="Y61" s="8" t="s">
        <v>1442</v>
      </c>
      <c r="Z61" s="8"/>
      <c r="AA61" s="8"/>
      <c r="AB61" s="8"/>
      <c r="AC61" s="8"/>
      <c r="AD61" s="8"/>
      <c r="AE61" s="8"/>
      <c r="AF61" s="8"/>
      <c r="AG61" s="8"/>
      <c r="AH61" s="8"/>
      <c r="AI61" s="8"/>
      <c r="AJ61" s="8"/>
      <c r="AK61" s="8"/>
      <c r="AL61" s="8"/>
      <c r="AM61" s="8"/>
      <c r="AN61" s="8"/>
      <c r="AO61" s="8"/>
      <c r="AP61" s="8"/>
      <c r="AQ61" s="8"/>
      <c r="AR61" s="8"/>
      <c r="AS61" s="8"/>
      <c r="AT61" s="8"/>
      <c r="AU61" s="8"/>
      <c r="AV61" s="8"/>
    </row>
    <row r="62" spans="1:48" ht="46" customHeight="1">
      <c r="A62" s="5" t="s">
        <v>1443</v>
      </c>
      <c r="B62" s="5"/>
      <c r="C62" s="5"/>
      <c r="D62" s="5"/>
      <c r="E62" s="5"/>
      <c r="F62" s="5"/>
      <c r="G62" s="5"/>
      <c r="H62" s="5"/>
      <c r="I62" s="5"/>
      <c r="J62" s="5"/>
      <c r="K62" s="5"/>
      <c r="L62" s="5"/>
      <c r="M62" s="5" t="s">
        <v>1444</v>
      </c>
      <c r="N62" s="5"/>
      <c r="O62" s="5"/>
      <c r="P62" s="5"/>
      <c r="Q62" s="5"/>
      <c r="R62" s="5"/>
      <c r="S62" s="5"/>
      <c r="T62" s="5"/>
      <c r="U62" s="5"/>
      <c r="V62" s="5"/>
      <c r="W62" s="5"/>
      <c r="X62" s="5"/>
      <c r="Y62" s="5" t="s">
        <v>1445</v>
      </c>
      <c r="Z62" s="5"/>
      <c r="AA62" s="5"/>
      <c r="AB62" s="5"/>
      <c r="AC62" s="5"/>
      <c r="AD62" s="5"/>
      <c r="AE62" s="5"/>
      <c r="AF62" s="5"/>
      <c r="AG62" s="5"/>
      <c r="AH62" s="5"/>
      <c r="AI62" s="5"/>
      <c r="AJ62" s="5"/>
      <c r="AK62" s="5"/>
      <c r="AL62" s="5"/>
      <c r="AM62" s="5"/>
      <c r="AN62" s="5"/>
      <c r="AO62" s="5"/>
      <c r="AP62" s="5"/>
      <c r="AQ62" s="5"/>
      <c r="AR62" s="5"/>
      <c r="AS62" s="5"/>
      <c r="AT62" s="5"/>
      <c r="AU62" s="5"/>
      <c r="AV62" s="5"/>
    </row>
    <row r="63" spans="1:48" ht="46" customHeight="1">
      <c r="A63" s="8" t="s">
        <v>1446</v>
      </c>
      <c r="B63" s="8"/>
      <c r="C63" s="8"/>
      <c r="D63" s="8"/>
      <c r="E63" s="8"/>
      <c r="F63" s="8"/>
      <c r="G63" s="8"/>
      <c r="H63" s="8"/>
      <c r="I63" s="8"/>
      <c r="J63" s="8"/>
      <c r="K63" s="8"/>
      <c r="L63" s="8"/>
      <c r="M63" s="8" t="s">
        <v>1447</v>
      </c>
      <c r="N63" s="8"/>
      <c r="O63" s="8"/>
      <c r="P63" s="8"/>
      <c r="Q63" s="8"/>
      <c r="R63" s="8"/>
      <c r="S63" s="8"/>
      <c r="T63" s="8"/>
      <c r="U63" s="8"/>
      <c r="V63" s="8"/>
      <c r="W63" s="8"/>
      <c r="X63" s="8"/>
      <c r="Y63" s="8" t="s">
        <v>1448</v>
      </c>
      <c r="Z63" s="8"/>
      <c r="AA63" s="8"/>
      <c r="AB63" s="8"/>
      <c r="AC63" s="8"/>
      <c r="AD63" s="8"/>
      <c r="AE63" s="8"/>
      <c r="AF63" s="8"/>
      <c r="AG63" s="8"/>
      <c r="AH63" s="8"/>
      <c r="AI63" s="8"/>
      <c r="AJ63" s="8"/>
      <c r="AK63" s="8"/>
      <c r="AL63" s="8"/>
      <c r="AM63" s="8"/>
      <c r="AN63" s="8"/>
      <c r="AO63" s="8"/>
      <c r="AP63" s="8"/>
      <c r="AQ63" s="8"/>
      <c r="AR63" s="8"/>
      <c r="AS63" s="8"/>
      <c r="AT63" s="8"/>
      <c r="AU63" s="8"/>
      <c r="AV63" s="8"/>
    </row>
    <row r="64" spans="1:48" ht="46" customHeight="1">
      <c r="A64" s="5" t="s">
        <v>1449</v>
      </c>
      <c r="B64" s="5"/>
      <c r="C64" s="5"/>
      <c r="D64" s="5"/>
      <c r="E64" s="5"/>
      <c r="F64" s="5"/>
      <c r="G64" s="5"/>
      <c r="H64" s="5"/>
      <c r="I64" s="5"/>
      <c r="J64" s="5"/>
      <c r="K64" s="5"/>
      <c r="L64" s="5"/>
      <c r="M64" s="5" t="s">
        <v>1450</v>
      </c>
      <c r="N64" s="5"/>
      <c r="O64" s="5"/>
      <c r="P64" s="5"/>
      <c r="Q64" s="5"/>
      <c r="R64" s="5"/>
      <c r="S64" s="5"/>
      <c r="T64" s="5"/>
      <c r="U64" s="5"/>
      <c r="V64" s="5"/>
      <c r="W64" s="5"/>
      <c r="X64" s="5"/>
      <c r="Y64" s="5" t="s">
        <v>1451</v>
      </c>
      <c r="Z64" s="5"/>
      <c r="AA64" s="5"/>
      <c r="AB64" s="5"/>
      <c r="AC64" s="5"/>
      <c r="AD64" s="5"/>
      <c r="AE64" s="5"/>
      <c r="AF64" s="5"/>
      <c r="AG64" s="5"/>
      <c r="AH64" s="5"/>
      <c r="AI64" s="5"/>
      <c r="AJ64" s="5"/>
      <c r="AK64" s="5"/>
      <c r="AL64" s="5"/>
      <c r="AM64" s="5"/>
      <c r="AN64" s="5"/>
      <c r="AO64" s="5"/>
      <c r="AP64" s="5"/>
      <c r="AQ64" s="5"/>
      <c r="AR64" s="5"/>
      <c r="AS64" s="5"/>
      <c r="AT64" s="5"/>
      <c r="AU64" s="5"/>
      <c r="AV64" s="5"/>
    </row>
    <row r="65" spans="1:48" ht="46" customHeight="1">
      <c r="A65" s="8" t="s">
        <v>1452</v>
      </c>
      <c r="B65" s="8"/>
      <c r="C65" s="8"/>
      <c r="D65" s="8"/>
      <c r="E65" s="8"/>
      <c r="F65" s="8"/>
      <c r="G65" s="8"/>
      <c r="H65" s="8"/>
      <c r="I65" s="8"/>
      <c r="J65" s="8"/>
      <c r="K65" s="8"/>
      <c r="L65" s="8"/>
      <c r="M65" s="8" t="s">
        <v>1453</v>
      </c>
      <c r="N65" s="8"/>
      <c r="O65" s="8"/>
      <c r="P65" s="8"/>
      <c r="Q65" s="8"/>
      <c r="R65" s="8"/>
      <c r="S65" s="8"/>
      <c r="T65" s="8"/>
      <c r="U65" s="8"/>
      <c r="V65" s="8"/>
      <c r="W65" s="8"/>
      <c r="X65" s="8"/>
      <c r="Y65" s="8" t="s">
        <v>1454</v>
      </c>
      <c r="Z65" s="8"/>
      <c r="AA65" s="8"/>
      <c r="AB65" s="8"/>
      <c r="AC65" s="8"/>
      <c r="AD65" s="8"/>
      <c r="AE65" s="8"/>
      <c r="AF65" s="8"/>
      <c r="AG65" s="8"/>
      <c r="AH65" s="8"/>
      <c r="AI65" s="8"/>
      <c r="AJ65" s="8"/>
      <c r="AK65" s="8"/>
      <c r="AL65" s="8"/>
      <c r="AM65" s="8"/>
      <c r="AN65" s="8"/>
      <c r="AO65" s="8"/>
      <c r="AP65" s="8"/>
      <c r="AQ65" s="8"/>
      <c r="AR65" s="8"/>
      <c r="AS65" s="8"/>
      <c r="AT65" s="8"/>
      <c r="AU65" s="8"/>
      <c r="AV65" s="8"/>
    </row>
    <row r="66" spans="1:48" ht="29" customHeight="1">
      <c r="A66" s="5" t="s">
        <v>1455</v>
      </c>
      <c r="B66" s="5"/>
      <c r="C66" s="5"/>
      <c r="D66" s="5"/>
      <c r="E66" s="5"/>
      <c r="F66" s="5"/>
      <c r="G66" s="5"/>
      <c r="H66" s="5"/>
      <c r="I66" s="5"/>
      <c r="J66" s="5"/>
      <c r="K66" s="5"/>
      <c r="L66" s="5"/>
      <c r="M66" s="5" t="s">
        <v>1453</v>
      </c>
      <c r="N66" s="5"/>
      <c r="O66" s="5"/>
      <c r="P66" s="5"/>
      <c r="Q66" s="5"/>
      <c r="R66" s="5"/>
      <c r="S66" s="5"/>
      <c r="T66" s="5"/>
      <c r="U66" s="5"/>
      <c r="V66" s="5"/>
      <c r="W66" s="5"/>
      <c r="X66" s="5"/>
      <c r="Y66" s="5" t="s">
        <v>1456</v>
      </c>
      <c r="Z66" s="5"/>
      <c r="AA66" s="5"/>
      <c r="AB66" s="5"/>
      <c r="AC66" s="5"/>
      <c r="AD66" s="5"/>
      <c r="AE66" s="5"/>
      <c r="AF66" s="5"/>
      <c r="AG66" s="5"/>
      <c r="AH66" s="5"/>
      <c r="AI66" s="5"/>
      <c r="AJ66" s="5"/>
      <c r="AK66" s="5"/>
      <c r="AL66" s="5"/>
      <c r="AM66" s="5"/>
      <c r="AN66" s="5"/>
      <c r="AO66" s="5"/>
      <c r="AP66" s="5"/>
      <c r="AQ66" s="5"/>
      <c r="AR66" s="5"/>
      <c r="AS66" s="5"/>
      <c r="AT66" s="5"/>
      <c r="AU66" s="5"/>
      <c r="AV66" s="5"/>
    </row>
    <row r="67" spans="1:48" ht="46" customHeight="1">
      <c r="A67" s="8" t="s">
        <v>1457</v>
      </c>
      <c r="B67" s="8"/>
      <c r="C67" s="8"/>
      <c r="D67" s="8"/>
      <c r="E67" s="8"/>
      <c r="F67" s="8"/>
      <c r="G67" s="8"/>
      <c r="H67" s="8"/>
      <c r="I67" s="8"/>
      <c r="J67" s="8"/>
      <c r="K67" s="8"/>
      <c r="L67" s="8"/>
      <c r="M67" s="8" t="s">
        <v>1453</v>
      </c>
      <c r="N67" s="8"/>
      <c r="O67" s="8"/>
      <c r="P67" s="8"/>
      <c r="Q67" s="8"/>
      <c r="R67" s="8"/>
      <c r="S67" s="8"/>
      <c r="T67" s="8"/>
      <c r="U67" s="8"/>
      <c r="V67" s="8"/>
      <c r="W67" s="8"/>
      <c r="X67" s="8"/>
      <c r="Y67" s="8" t="s">
        <v>1458</v>
      </c>
      <c r="Z67" s="8"/>
      <c r="AA67" s="8"/>
      <c r="AB67" s="8"/>
      <c r="AC67" s="8"/>
      <c r="AD67" s="8"/>
      <c r="AE67" s="8"/>
      <c r="AF67" s="8"/>
      <c r="AG67" s="8"/>
      <c r="AH67" s="8"/>
      <c r="AI67" s="8"/>
      <c r="AJ67" s="8"/>
      <c r="AK67" s="8"/>
      <c r="AL67" s="8"/>
      <c r="AM67" s="8"/>
      <c r="AN67" s="8"/>
      <c r="AO67" s="8"/>
      <c r="AP67" s="8"/>
      <c r="AQ67" s="8"/>
      <c r="AR67" s="8"/>
      <c r="AS67" s="8"/>
      <c r="AT67" s="8"/>
      <c r="AU67" s="8"/>
      <c r="AV67" s="8"/>
    </row>
    <row r="68" spans="1:48" ht="10" customHeight="1"/>
  </sheetData>
  <mergeCells count="208">
    <mergeCell ref="A1:AV1"/>
    <mergeCell ref="A2:AV2"/>
    <mergeCell ref="A3:AV3"/>
    <mergeCell ref="A4:X4"/>
    <mergeCell ref="Y4:AV4"/>
    <mergeCell ref="A6:AV6"/>
    <mergeCell ref="A7:B7"/>
    <mergeCell ref="C7:N7"/>
    <mergeCell ref="O7:AC7"/>
    <mergeCell ref="AD7:AV7"/>
    <mergeCell ref="A8:B8"/>
    <mergeCell ref="C8:N8"/>
    <mergeCell ref="O8:AC8"/>
    <mergeCell ref="AD8:AV8"/>
    <mergeCell ref="A9:B9"/>
    <mergeCell ref="C9:N9"/>
    <mergeCell ref="O9:AC9"/>
    <mergeCell ref="AD9:AV9"/>
    <mergeCell ref="A10:B10"/>
    <mergeCell ref="C10:N10"/>
    <mergeCell ref="O10:AC10"/>
    <mergeCell ref="AD10:AV10"/>
    <mergeCell ref="A11:B11"/>
    <mergeCell ref="C11:N11"/>
    <mergeCell ref="O11:AC11"/>
    <mergeCell ref="AD11:AV11"/>
    <mergeCell ref="A12:B12"/>
    <mergeCell ref="C12:N12"/>
    <mergeCell ref="O12:AC12"/>
    <mergeCell ref="AD12:AV12"/>
    <mergeCell ref="A13:B13"/>
    <mergeCell ref="C13:N13"/>
    <mergeCell ref="O13:AC13"/>
    <mergeCell ref="AD13:AV13"/>
    <mergeCell ref="A14:B14"/>
    <mergeCell ref="C14:N14"/>
    <mergeCell ref="O14:AC14"/>
    <mergeCell ref="AD14:AV14"/>
    <mergeCell ref="A15:B15"/>
    <mergeCell ref="C15:N15"/>
    <mergeCell ref="O15:AC15"/>
    <mergeCell ref="AD15:AV15"/>
    <mergeCell ref="A16:B16"/>
    <mergeCell ref="C16:N16"/>
    <mergeCell ref="O16:AC16"/>
    <mergeCell ref="AD16:AV16"/>
    <mergeCell ref="A17:B17"/>
    <mergeCell ref="C17:N17"/>
    <mergeCell ref="O17:AC17"/>
    <mergeCell ref="AD17:AV17"/>
    <mergeCell ref="A18:B18"/>
    <mergeCell ref="C18:N18"/>
    <mergeCell ref="O18:AC18"/>
    <mergeCell ref="AD18:AV18"/>
    <mergeCell ref="A19:B19"/>
    <mergeCell ref="C19:N19"/>
    <mergeCell ref="O19:AC19"/>
    <mergeCell ref="AD19:AV19"/>
    <mergeCell ref="A20:B20"/>
    <mergeCell ref="C20:N20"/>
    <mergeCell ref="O20:AC20"/>
    <mergeCell ref="AD20:AV20"/>
    <mergeCell ref="A21:B21"/>
    <mergeCell ref="C21:N21"/>
    <mergeCell ref="O21:AC21"/>
    <mergeCell ref="AD21:AV21"/>
    <mergeCell ref="A22:B22"/>
    <mergeCell ref="C22:N22"/>
    <mergeCell ref="O22:AC22"/>
    <mergeCell ref="AD22:AV22"/>
    <mergeCell ref="A23:B23"/>
    <mergeCell ref="C23:N23"/>
    <mergeCell ref="O23:AC23"/>
    <mergeCell ref="AD23:AV23"/>
    <mergeCell ref="A24:B24"/>
    <mergeCell ref="C24:N24"/>
    <mergeCell ref="O24:AC24"/>
    <mergeCell ref="AD24:AV24"/>
    <mergeCell ref="A25:B25"/>
    <mergeCell ref="C25:N25"/>
    <mergeCell ref="O25:AC25"/>
    <mergeCell ref="AD25:AV25"/>
    <mergeCell ref="A26:B26"/>
    <mergeCell ref="C26:N26"/>
    <mergeCell ref="O26:AC26"/>
    <mergeCell ref="AD26:AV26"/>
    <mergeCell ref="A27:B27"/>
    <mergeCell ref="C27:N27"/>
    <mergeCell ref="O27:AC27"/>
    <mergeCell ref="AD27:AV27"/>
    <mergeCell ref="A28:B28"/>
    <mergeCell ref="C28:N28"/>
    <mergeCell ref="O28:AC28"/>
    <mergeCell ref="AD28:AV28"/>
    <mergeCell ref="A29:B29"/>
    <mergeCell ref="C29:N29"/>
    <mergeCell ref="O29:AC29"/>
    <mergeCell ref="AD29:AV29"/>
    <mergeCell ref="A30:B30"/>
    <mergeCell ref="C30:N30"/>
    <mergeCell ref="O30:AC30"/>
    <mergeCell ref="AD30:AV30"/>
    <mergeCell ref="A31:B31"/>
    <mergeCell ref="C31:N31"/>
    <mergeCell ref="O31:AC31"/>
    <mergeCell ref="AD31:AV31"/>
    <mergeCell ref="A32:B32"/>
    <mergeCell ref="C32:N32"/>
    <mergeCell ref="O32:AC32"/>
    <mergeCell ref="AD32:AV32"/>
    <mergeCell ref="A33:B33"/>
    <mergeCell ref="C33:N33"/>
    <mergeCell ref="O33:AC33"/>
    <mergeCell ref="AD33:AV33"/>
    <mergeCell ref="A34:B34"/>
    <mergeCell ref="C34:N34"/>
    <mergeCell ref="O34:AC34"/>
    <mergeCell ref="AD34:AV34"/>
    <mergeCell ref="A35:B35"/>
    <mergeCell ref="C35:N35"/>
    <mergeCell ref="O35:AC35"/>
    <mergeCell ref="AD35:AV35"/>
    <mergeCell ref="A36:B36"/>
    <mergeCell ref="C36:N36"/>
    <mergeCell ref="O36:AC36"/>
    <mergeCell ref="AD36:AV36"/>
    <mergeCell ref="A37:B37"/>
    <mergeCell ref="C37:N37"/>
    <mergeCell ref="O37:AC37"/>
    <mergeCell ref="AD37:AV37"/>
    <mergeCell ref="A38:B38"/>
    <mergeCell ref="C38:N38"/>
    <mergeCell ref="O38:AC38"/>
    <mergeCell ref="AD38:AV38"/>
    <mergeCell ref="A39:B39"/>
    <mergeCell ref="C39:N39"/>
    <mergeCell ref="O39:AC39"/>
    <mergeCell ref="AD39:AV39"/>
    <mergeCell ref="A40:B40"/>
    <mergeCell ref="C40:N40"/>
    <mergeCell ref="O40:AC40"/>
    <mergeCell ref="AD40:AV40"/>
    <mergeCell ref="A41:B41"/>
    <mergeCell ref="C41:N41"/>
    <mergeCell ref="O41:AC41"/>
    <mergeCell ref="AD41:AV41"/>
    <mergeCell ref="A42:B42"/>
    <mergeCell ref="C42:N42"/>
    <mergeCell ref="O42:AC42"/>
    <mergeCell ref="AD42:AV42"/>
    <mergeCell ref="A43:B43"/>
    <mergeCell ref="C43:N43"/>
    <mergeCell ref="O43:AC43"/>
    <mergeCell ref="AD43:AV43"/>
    <mergeCell ref="A44:B44"/>
    <mergeCell ref="C44:N44"/>
    <mergeCell ref="O44:AC44"/>
    <mergeCell ref="AD44:AV44"/>
    <mergeCell ref="A45:B45"/>
    <mergeCell ref="C45:N45"/>
    <mergeCell ref="O45:AC45"/>
    <mergeCell ref="AD45:AV45"/>
    <mergeCell ref="A46:B46"/>
    <mergeCell ref="C46:N46"/>
    <mergeCell ref="O46:AC46"/>
    <mergeCell ref="AD46:AV46"/>
    <mergeCell ref="A48:J48"/>
    <mergeCell ref="K48:AV48"/>
    <mergeCell ref="A50:J50"/>
    <mergeCell ref="K50:AV50"/>
    <mergeCell ref="A51:AV51"/>
    <mergeCell ref="A53:J53"/>
    <mergeCell ref="K53:AV53"/>
    <mergeCell ref="A54:AV54"/>
    <mergeCell ref="A56:AV56"/>
    <mergeCell ref="A57:L57"/>
    <mergeCell ref="M57:X57"/>
    <mergeCell ref="Y57:AV57"/>
    <mergeCell ref="A58:L58"/>
    <mergeCell ref="M58:X58"/>
    <mergeCell ref="Y58:AV58"/>
    <mergeCell ref="A59:L59"/>
    <mergeCell ref="M59:X59"/>
    <mergeCell ref="Y59:AV59"/>
    <mergeCell ref="A60:L60"/>
    <mergeCell ref="M60:X60"/>
    <mergeCell ref="Y60:AV60"/>
    <mergeCell ref="A61:L61"/>
    <mergeCell ref="M61:X61"/>
    <mergeCell ref="Y61:AV61"/>
    <mergeCell ref="A62:L62"/>
    <mergeCell ref="M62:X62"/>
    <mergeCell ref="Y62:AV62"/>
    <mergeCell ref="A63:L63"/>
    <mergeCell ref="M63:X63"/>
    <mergeCell ref="Y63:AV63"/>
    <mergeCell ref="A64:L64"/>
    <mergeCell ref="M64:X64"/>
    <mergeCell ref="Y64:AV64"/>
    <mergeCell ref="A65:L65"/>
    <mergeCell ref="M65:X65"/>
    <mergeCell ref="Y65:AV65"/>
    <mergeCell ref="A66:L66"/>
    <mergeCell ref="M66:X66"/>
    <mergeCell ref="Y66:AV66"/>
    <mergeCell ref="A67:L67"/>
    <mergeCell ref="M67:X67"/>
    <mergeCell ref="Y67:AV67"/>
  </mergeCells>
  <hyperlinks>
    <hyperlink ref="A4" location="'00_結論と読み方'!A1" display="目次へ"/>
    <hyperlink ref="Y4" location="'18_出典と適用範囲'!A1" display="出典一覧へ"/>
    <hyperlink ref="AD8" r:id="rId1"/>
    <hyperlink ref="AD9" r:id="rId2"/>
    <hyperlink ref="AD10" r:id="rId3"/>
    <hyperlink ref="AD11" r:id="rId4"/>
    <hyperlink ref="AD12" r:id="rId5"/>
    <hyperlink ref="AD13" r:id="rId6"/>
    <hyperlink ref="AD14" r:id="rId7"/>
    <hyperlink ref="AD15" r:id="rId8"/>
    <hyperlink ref="AD16" r:id="rId9"/>
    <hyperlink ref="AD17" r:id="rId10"/>
    <hyperlink ref="AD18" r:id="rId11"/>
    <hyperlink ref="AD19" r:id="rId12"/>
    <hyperlink ref="AD20" r:id="rId13"/>
    <hyperlink ref="AD21" r:id="rId14"/>
    <hyperlink ref="AD22" r:id="rId15"/>
    <hyperlink ref="AD23" r:id="rId16"/>
    <hyperlink ref="AD24" r:id="rId17"/>
    <hyperlink ref="AD25" r:id="rId18"/>
    <hyperlink ref="AD26" r:id="rId19"/>
    <hyperlink ref="AD27" r:id="rId20"/>
    <hyperlink ref="AD28" r:id="rId21"/>
    <hyperlink ref="AD29" r:id="rId22"/>
    <hyperlink ref="AD30" r:id="rId23"/>
    <hyperlink ref="AD31" r:id="rId24"/>
    <hyperlink ref="AD32" r:id="rId25"/>
    <hyperlink ref="AD33" r:id="rId26"/>
    <hyperlink ref="AD34" r:id="rId27"/>
    <hyperlink ref="AD35" r:id="rId28"/>
    <hyperlink ref="AD36" r:id="rId29"/>
    <hyperlink ref="AD37" r:id="rId30"/>
    <hyperlink ref="AD38" r:id="rId31"/>
    <hyperlink ref="AD39" r:id="rId32"/>
    <hyperlink ref="AD40" r:id="rId33"/>
    <hyperlink ref="AD41" r:id="rId34" location="healthcheck"/>
    <hyperlink ref="AD42" r:id="rId35"/>
    <hyperlink ref="AD43" r:id="rId36"/>
    <hyperlink ref="AD44" r:id="rId37"/>
    <hyperlink ref="AD45" r:id="rId38"/>
    <hyperlink ref="AD46" r:id="rId39"/>
  </hyperlinks>
  <pageMargins left="0.25" right="0.25" top="0.35" bottom="0.35" header="0.3" footer="0.3"/>
  <pageSetup paperSize="8" fitToHeight="0" orientation="landscape"/>
  <headerFooter>
    <oddHeader>&amp;L&amp;"Meiryo UI,Regular"&amp;9ECS Fargate 設計ガイド&amp;R2026-10-07</oddHeader>
    <oddFooter>&amp;L&amp;"Meiryo UI,Regular"&amp;8仮定の値は実測で置換&amp;R&amp;P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42</vt:i4>
      </vt:variant>
    </vt:vector>
  </HeadingPairs>
  <TitlesOfParts>
    <vt:vector size="63" baseType="lpstr">
      <vt:lpstr>00_結論と読み方</vt:lpstr>
      <vt:lpstr>01_仕組みと時計</vt:lpstr>
      <vt:lpstr>01b_用語をやさしく</vt:lpstr>
      <vt:lpstr>02_設定値の範囲</vt:lpstr>
      <vt:lpstr>03_依存とessential</vt:lpstr>
      <vt:lpstr>04_パターン比較</vt:lpstr>
      <vt:lpstr>05_コンテナ設定</vt:lpstr>
      <vt:lpstr>06_ALBとサービス</vt:lpstr>
      <vt:lpstr>07_起動時系列</vt:lpstr>
      <vt:lpstr>07b_時系列図</vt:lpstr>
      <vt:lpstr>08_時間計算</vt:lpstr>
      <vt:lpstr>09_EAPと健康判定</vt:lpstr>
      <vt:lpstr>10_ADOTとCWAgent</vt:lpstr>
      <vt:lpstr>11_検査コマンド</vt:lpstr>
      <vt:lpstr>12_JSON設定例</vt:lpstr>
      <vt:lpstr>13_Terraformと補助</vt:lpstr>
      <vt:lpstr>14_障害と運用</vt:lpstr>
      <vt:lpstr>15_測定と検証</vt:lpstr>
      <vt:lpstr>16_歴史と背景</vt:lpstr>
      <vt:lpstr>17_よくある疑問</vt:lpstr>
      <vt:lpstr>18_出典と適用範囲</vt:lpstr>
      <vt:lpstr>'00_結論と読み方'!Print_Area</vt:lpstr>
      <vt:lpstr>'01_仕組みと時計'!Print_Area</vt:lpstr>
      <vt:lpstr>'01b_用語をやさしく'!Print_Area</vt:lpstr>
      <vt:lpstr>'02_設定値の範囲'!Print_Area</vt:lpstr>
      <vt:lpstr>'03_依存とessential'!Print_Area</vt:lpstr>
      <vt:lpstr>'04_パターン比較'!Print_Area</vt:lpstr>
      <vt:lpstr>'05_コンテナ設定'!Print_Area</vt:lpstr>
      <vt:lpstr>'06_ALBとサービス'!Print_Area</vt:lpstr>
      <vt:lpstr>'07_起動時系列'!Print_Area</vt:lpstr>
      <vt:lpstr>'07b_時系列図'!Print_Area</vt:lpstr>
      <vt:lpstr>'08_時間計算'!Print_Area</vt:lpstr>
      <vt:lpstr>'09_EAPと健康判定'!Print_Area</vt:lpstr>
      <vt:lpstr>'10_ADOTとCWAgent'!Print_Area</vt:lpstr>
      <vt:lpstr>'11_検査コマンド'!Print_Area</vt:lpstr>
      <vt:lpstr>'12_JSON設定例'!Print_Area</vt:lpstr>
      <vt:lpstr>'13_Terraformと補助'!Print_Area</vt:lpstr>
      <vt:lpstr>'14_障害と運用'!Print_Area</vt:lpstr>
      <vt:lpstr>'15_測定と検証'!Print_Area</vt:lpstr>
      <vt:lpstr>'16_歴史と背景'!Print_Area</vt:lpstr>
      <vt:lpstr>'17_よくある疑問'!Print_Area</vt:lpstr>
      <vt:lpstr>'18_出典と適用範囲'!Print_Area</vt:lpstr>
      <vt:lpstr>'00_結論と読み方'!Print_Titles</vt:lpstr>
      <vt:lpstr>'01_仕組みと時計'!Print_Titles</vt:lpstr>
      <vt:lpstr>'01b_用語をやさしく'!Print_Titles</vt:lpstr>
      <vt:lpstr>'02_設定値の範囲'!Print_Titles</vt:lpstr>
      <vt:lpstr>'03_依存とessential'!Print_Titles</vt:lpstr>
      <vt:lpstr>'04_パターン比較'!Print_Titles</vt:lpstr>
      <vt:lpstr>'05_コンテナ設定'!Print_Titles</vt:lpstr>
      <vt:lpstr>'06_ALBとサービス'!Print_Titles</vt:lpstr>
      <vt:lpstr>'07_起動時系列'!Print_Titles</vt:lpstr>
      <vt:lpstr>'07b_時系列図'!Print_Titles</vt:lpstr>
      <vt:lpstr>'08_時間計算'!Print_Titles</vt:lpstr>
      <vt:lpstr>'09_EAPと健康判定'!Print_Titles</vt:lpstr>
      <vt:lpstr>'10_ADOTとCWAgent'!Print_Titles</vt:lpstr>
      <vt:lpstr>'11_検査コマンド'!Print_Titles</vt:lpstr>
      <vt:lpstr>'12_JSON設定例'!Print_Titles</vt:lpstr>
      <vt:lpstr>'13_Terraformと補助'!Print_Titles</vt:lpstr>
      <vt:lpstr>'14_障害と運用'!Print_Titles</vt:lpstr>
      <vt:lpstr>'15_測定と検証'!Print_Titles</vt:lpstr>
      <vt:lpstr>'16_歴史と背景'!Print_Titles</vt:lpstr>
      <vt:lpstr>'17_よくある疑問'!Print_Titles</vt:lpstr>
      <vt:lpstr>'18_出典と適用範囲'!Print_Titles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ECS Fargate ヘルスチェック・起動依存関係 設計ガイド</dc:title>
  <dc:subject>UBI / OpenJDK 21 / JBoss EAP 8.1 · フロント / バック / ADOT / CloudWatch Agent</dc:subject>
  <dc:creator>Codex</dc:creator>
  <dc:description>仕様と仮定を区別した設計資料。AWSへの適用は行っていません。</dc:description>
  <cp:lastModifiedBy>Codex</cp:lastModifiedBy>
  <dcterms:created xsi:type="dcterms:W3CDTF">2026-10-07T00:00:00Z</dcterms:created>
  <dcterms:modified xsi:type="dcterms:W3CDTF">2026-10-07T00:00:00Z</dcterms:modified>
</cp:coreProperties>
</file>